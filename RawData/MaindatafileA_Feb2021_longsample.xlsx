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D:\Dropbox\Research\GovRiskManagement\Final\code\RawData\"/>
    </mc:Choice>
  </mc:AlternateContent>
  <xr:revisionPtr revIDLastSave="0" documentId="13_ncr:1_{BD9B8077-3449-47D2-81FB-4D420AD57DBB}" xr6:coauthVersionLast="47" xr6:coauthVersionMax="47" xr10:uidLastSave="{00000000-0000-0000-0000-000000000000}"/>
  <bookViews>
    <workbookView xWindow="-98" yWindow="-98" windowWidth="25996" windowHeight="10395" activeTab="2" xr2:uid="{00000000-000D-0000-FFFF-FFFF00000000}"/>
  </bookViews>
  <sheets>
    <sheet name="Readme" sheetId="13" r:id="rId1"/>
    <sheet name="VAR2" sheetId="11" r:id="rId2"/>
    <sheet name="VAR_international" sheetId="12" r:id="rId3"/>
    <sheet name="Fiscal" sheetId="5"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96" i="11" l="1"/>
  <c r="AL96" i="11" s="1"/>
  <c r="D93" i="12" l="1"/>
  <c r="D92" i="12"/>
  <c r="D91" i="12"/>
  <c r="D90" i="12"/>
  <c r="D89" i="12"/>
  <c r="D88" i="12"/>
  <c r="D87" i="12"/>
  <c r="D86" i="12"/>
  <c r="D85" i="12"/>
  <c r="D84" i="12"/>
  <c r="D83" i="12"/>
  <c r="D82" i="12"/>
  <c r="D81" i="12"/>
  <c r="D80" i="12"/>
  <c r="D79" i="12"/>
  <c r="D78" i="12"/>
  <c r="D77" i="12"/>
  <c r="D76" i="12"/>
  <c r="D75" i="12"/>
  <c r="D74" i="12"/>
  <c r="D73" i="12"/>
  <c r="D72" i="12"/>
  <c r="D71" i="12"/>
  <c r="D70" i="12"/>
  <c r="D69" i="12"/>
  <c r="D68" i="12"/>
  <c r="D67" i="12"/>
  <c r="D66" i="12"/>
  <c r="D65" i="12"/>
  <c r="D64" i="12"/>
  <c r="D63" i="12"/>
  <c r="D62" i="12"/>
  <c r="D61" i="12"/>
  <c r="D60" i="12"/>
  <c r="D59" i="12"/>
  <c r="D58" i="12"/>
  <c r="D57" i="12"/>
  <c r="D56" i="12"/>
  <c r="D55" i="12"/>
  <c r="D54" i="12"/>
  <c r="D53" i="12"/>
  <c r="D52" i="12"/>
  <c r="D51" i="12"/>
  <c r="D50" i="12"/>
  <c r="D49" i="12"/>
  <c r="D48" i="12"/>
  <c r="D47" i="12"/>
  <c r="D46" i="12"/>
  <c r="D45" i="12"/>
  <c r="D44" i="12"/>
  <c r="D43" i="12"/>
  <c r="D42" i="12"/>
  <c r="D41" i="12"/>
  <c r="D40" i="12"/>
  <c r="D39" i="12"/>
  <c r="D38" i="12"/>
  <c r="D37" i="12"/>
  <c r="D36" i="12"/>
  <c r="D35" i="12"/>
  <c r="D34" i="12"/>
  <c r="D33" i="12"/>
  <c r="D32" i="12"/>
  <c r="D31" i="12"/>
  <c r="D30" i="12"/>
  <c r="D29" i="12"/>
  <c r="D28" i="12"/>
  <c r="D27" i="12"/>
  <c r="D26" i="12"/>
  <c r="D25" i="12"/>
  <c r="D24" i="12"/>
  <c r="D23" i="12"/>
  <c r="D22" i="12"/>
  <c r="D21" i="12"/>
  <c r="D20" i="12"/>
  <c r="D19" i="12"/>
  <c r="D18" i="12"/>
  <c r="D17" i="12"/>
  <c r="D16" i="12"/>
  <c r="D15" i="12"/>
  <c r="D14" i="12"/>
  <c r="D13" i="12"/>
  <c r="I12" i="12"/>
  <c r="D12" i="12"/>
  <c r="I11" i="12"/>
  <c r="D11" i="12"/>
  <c r="I10" i="12"/>
  <c r="D10" i="12"/>
  <c r="I9" i="12"/>
  <c r="D9" i="12"/>
  <c r="I8" i="12"/>
  <c r="D8" i="12"/>
  <c r="I7" i="12"/>
  <c r="D7" i="12"/>
  <c r="I6" i="12"/>
  <c r="D6" i="12"/>
  <c r="I5" i="12"/>
  <c r="D5" i="12"/>
  <c r="I4" i="12"/>
  <c r="D4" i="12"/>
  <c r="I3" i="12"/>
  <c r="D3" i="12"/>
  <c r="A3" i="12"/>
  <c r="A4" i="12" s="1"/>
  <c r="A5" i="12" s="1"/>
  <c r="A6" i="12" s="1"/>
  <c r="A7" i="12" s="1"/>
  <c r="A8" i="12" s="1"/>
  <c r="A9" i="12" s="1"/>
  <c r="A10" i="12" s="1"/>
  <c r="A11" i="12" s="1"/>
  <c r="A12" i="12" s="1"/>
  <c r="A13" i="12" s="1"/>
  <c r="A14" i="12" s="1"/>
  <c r="A15" i="12" s="1"/>
  <c r="A16" i="12" s="1"/>
  <c r="A17" i="12" s="1"/>
  <c r="A18" i="12" s="1"/>
  <c r="A19" i="12" s="1"/>
  <c r="A20" i="12" s="1"/>
  <c r="A21" i="12" s="1"/>
  <c r="A22" i="12" s="1"/>
  <c r="A23" i="12" s="1"/>
  <c r="A24" i="12" s="1"/>
  <c r="A25" i="12" s="1"/>
  <c r="A26" i="12" s="1"/>
  <c r="A27" i="12" s="1"/>
  <c r="A28" i="12" s="1"/>
  <c r="A29" i="12" s="1"/>
  <c r="A30" i="12" s="1"/>
  <c r="A31" i="12" s="1"/>
  <c r="A32" i="12" s="1"/>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A54" i="12" s="1"/>
  <c r="A55" i="12" s="1"/>
  <c r="A56" i="12" s="1"/>
  <c r="A57" i="12" s="1"/>
  <c r="A58" i="12" s="1"/>
  <c r="A59" i="12" s="1"/>
  <c r="A60" i="12" s="1"/>
  <c r="A61" i="12" s="1"/>
  <c r="A62" i="12" s="1"/>
  <c r="A63" i="12" s="1"/>
  <c r="A64" i="12" s="1"/>
  <c r="A65" i="12" s="1"/>
  <c r="A66" i="12" s="1"/>
  <c r="A67" i="12" s="1"/>
  <c r="A68" i="12" s="1"/>
  <c r="A69" i="12" s="1"/>
  <c r="A70" i="12" s="1"/>
  <c r="A71" i="12" s="1"/>
  <c r="A72" i="12" s="1"/>
  <c r="A73" i="12" s="1"/>
  <c r="A74" i="12" s="1"/>
  <c r="A75" i="12" s="1"/>
  <c r="A76" i="12" s="1"/>
  <c r="A77" i="12" s="1"/>
  <c r="A78" i="12" s="1"/>
  <c r="A79" i="12" s="1"/>
  <c r="A80" i="12" s="1"/>
  <c r="A81" i="12" s="1"/>
  <c r="A82" i="12" s="1"/>
  <c r="A83" i="12" s="1"/>
  <c r="A84" i="12" s="1"/>
  <c r="A85" i="12" s="1"/>
  <c r="A86" i="12" s="1"/>
  <c r="A87" i="12" s="1"/>
  <c r="A88" i="12" s="1"/>
  <c r="A89" i="12" s="1"/>
  <c r="A90" i="12" s="1"/>
  <c r="A91" i="12" s="1"/>
  <c r="I2" i="12"/>
  <c r="D2" i="12"/>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3" i="11"/>
  <c r="D4" i="11"/>
  <c r="D5" i="11"/>
  <c r="D2" i="11"/>
  <c r="I12" i="11"/>
  <c r="I11" i="11"/>
  <c r="I10" i="11"/>
  <c r="I9" i="11"/>
  <c r="I8" i="11"/>
  <c r="I7" i="11"/>
  <c r="I6" i="11"/>
  <c r="I5" i="11"/>
  <c r="I4" i="11"/>
  <c r="I3" i="11"/>
  <c r="A3" i="11"/>
  <c r="A4" i="11" s="1"/>
  <c r="A5" i="11" s="1"/>
  <c r="A6" i="11" s="1"/>
  <c r="A7" i="11" s="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60" i="11" s="1"/>
  <c r="A61" i="11" s="1"/>
  <c r="A62" i="11" s="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I2" i="11"/>
  <c r="A3" i="5" l="1"/>
  <c r="A4" i="5" s="1"/>
  <c r="A5" i="5" s="1"/>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alcChain>
</file>

<file path=xl/sharedStrings.xml><?xml version="1.0" encoding="utf-8"?>
<sst xmlns="http://schemas.openxmlformats.org/spreadsheetml/2006/main" count="167" uniqueCount="124">
  <si>
    <t>year</t>
  </si>
  <si>
    <t>tau</t>
  </si>
  <si>
    <t>g</t>
  </si>
  <si>
    <t>s</t>
  </si>
  <si>
    <t>x</t>
  </si>
  <si>
    <t>pi</t>
  </si>
  <si>
    <t>3mo CMT</t>
  </si>
  <si>
    <t>1yr CMT</t>
  </si>
  <si>
    <t>2yr CMT</t>
  </si>
  <si>
    <t>5yr CMT</t>
  </si>
  <si>
    <t>10yr CMT</t>
  </si>
  <si>
    <t>30yr CMT</t>
  </si>
  <si>
    <t>pdm</t>
  </si>
  <si>
    <t>divgrm</t>
  </si>
  <si>
    <t>20yr CMT</t>
  </si>
  <si>
    <t>tips5</t>
  </si>
  <si>
    <t>tips7</t>
  </si>
  <si>
    <t>tips10</t>
  </si>
  <si>
    <t>tips20</t>
  </si>
  <si>
    <t>tips30</t>
  </si>
  <si>
    <t>T (Billions)</t>
  </si>
  <si>
    <t>GDP (Billions)</t>
  </si>
  <si>
    <t>G (Billions)</t>
  </si>
  <si>
    <t>global_inflation</t>
  </si>
  <si>
    <t>global_real_gdp_growth</t>
  </si>
  <si>
    <t>global_totequityret</t>
  </si>
  <si>
    <t>total return</t>
  </si>
  <si>
    <t>Column</t>
  </si>
  <si>
    <t>Symbol</t>
  </si>
  <si>
    <t>Definition</t>
  </si>
  <si>
    <t>Source</t>
  </si>
  <si>
    <t>B</t>
  </si>
  <si>
    <t>tax revenue to GDP</t>
  </si>
  <si>
    <t>C</t>
  </si>
  <si>
    <t>government spending (before interest expense) to GDP</t>
  </si>
  <si>
    <t>D</t>
  </si>
  <si>
    <t>primary budget surplus to GDP</t>
  </si>
  <si>
    <t>Column B minus Column C</t>
  </si>
  <si>
    <t>E</t>
  </si>
  <si>
    <t>real GDP growth (not per capita)</t>
  </si>
  <si>
    <t>F</t>
  </si>
  <si>
    <t>inflation (GDP price deflator-based)</t>
  </si>
  <si>
    <t>G</t>
  </si>
  <si>
    <t>y1</t>
  </si>
  <si>
    <t>1-year CMT</t>
  </si>
  <si>
    <t>1-Year Treasury Constant Maturity Rate, Percent, Annual (End of Period), Not Seasonally Adjusted</t>
  </si>
  <si>
    <t>yieldspr</t>
  </si>
  <si>
    <t>yield spread</t>
  </si>
  <si>
    <t>5-year CMT minus 1-year CMT</t>
  </si>
  <si>
    <t>M</t>
  </si>
  <si>
    <t>log price-div ratio on CRSP vw stock market</t>
  </si>
  <si>
    <t>dividends are seasonally adjusted; this is price divided by annual dividend</t>
  </si>
  <si>
    <t>N</t>
  </si>
  <si>
    <t>log annual dividend growth</t>
  </si>
  <si>
    <t>norminal and seasonally adjusted</t>
  </si>
  <si>
    <t>debt_gdp_ratio</t>
  </si>
  <si>
    <t>aggregate market value of all marketable treasury bonds to GDP</t>
  </si>
  <si>
    <t>Fred GS5 and DGS5 (1953-2020) and FRASER (pre-1953)</t>
  </si>
  <si>
    <t xml:space="preserve">This document </t>
  </si>
  <si>
    <t>VAR Variable</t>
  </si>
  <si>
    <t>Other Variable</t>
  </si>
  <si>
    <t>5-year CMT</t>
  </si>
  <si>
    <t>3-month CMT</t>
  </si>
  <si>
    <t>3-month treasury bill yields</t>
  </si>
  <si>
    <t>GFD (ticker: ITUSA3CM)</t>
  </si>
  <si>
    <t xml:space="preserve">5-year CMT </t>
  </si>
  <si>
    <t>Global Financial Database (Ticker: IGUSA1D) for 1940-2020; Pre-1940 1yr CMT is taken from GFD 3month CMT (ITUSA3CM)</t>
  </si>
  <si>
    <t>Fred (DGS5) 1962-2020; Fred (GS5) 1953-1961;</t>
  </si>
  <si>
    <t>Pre-1953: 3yr-5yr CMT from FRASER archive, "U.S. Government security yields and prices and high-grade corporate bonds"</t>
  </si>
  <si>
    <t>10-year CMT</t>
  </si>
  <si>
    <t>Fred (DGS10) 1962-2020; Fred (GS10) 1953-1961;</t>
  </si>
  <si>
    <t>Pre-1953: Global Financeial Database (Ticker: IGUSA10D)</t>
  </si>
  <si>
    <t>20-year CMT</t>
  </si>
  <si>
    <t>Fred (DGS20)</t>
  </si>
  <si>
    <t>30-year CMT</t>
  </si>
  <si>
    <t>Fred (DGS30)</t>
  </si>
  <si>
    <t>TIPS</t>
  </si>
  <si>
    <t>5-year</t>
  </si>
  <si>
    <t>7-year</t>
  </si>
  <si>
    <t>10-year</t>
  </si>
  <si>
    <t>20-year</t>
  </si>
  <si>
    <t>Fred (DFII5)</t>
  </si>
  <si>
    <t>Fred (FII7)</t>
  </si>
  <si>
    <t>Fred (DFII10)</t>
  </si>
  <si>
    <t>Fred (DFII20)</t>
  </si>
  <si>
    <t>30-year</t>
  </si>
  <si>
    <t>Fred (DFII30)</t>
  </si>
  <si>
    <t>total return of the bond portfolio</t>
  </si>
  <si>
    <t>global inflation</t>
  </si>
  <si>
    <t>global real GDP growth</t>
  </si>
  <si>
    <t>global total equity return</t>
  </si>
  <si>
    <t> JST database</t>
  </si>
  <si>
    <t>global inflation index (excluding US). The weights assigned to each country correspond to their share of global GDP (in nominal Dollars). The global factors are computed using data for the following countries: Australia, Belgium, Switzerland, Germany, Denmark, Spain, Finland, France, UK, Italy, Japan, Netherlands, Norway, Portugal, Sweden.</t>
  </si>
  <si>
    <t>global real gdp growth (excluding US). The weights assigned to each country correspond to their share of global GDP (in nominal Dollars). The global factors are computed using data for the following countries: Australia, Belgium, Switzerland, Germany, Denmark, Spain, Finland, France, UK, Italy, Japan, Netherlands, Norway, Portugal, Sweden.</t>
  </si>
  <si>
    <t>glotal total equity return (excluding US). The weights assigned to each country correspond to their share of global GDP (in nominal Dollars). The global factors are computed using data for the following countries: Australia, Belgium, Switzerland, Germany, Denmark, Spain, Finland, France, UK, Italy, Japan, Netherlands, Norway, Portugal, Sweden.</t>
  </si>
  <si>
    <t>debt_gdp_sargenthall</t>
  </si>
  <si>
    <t xml:space="preserve">2-year CMT </t>
  </si>
  <si>
    <t>2-year CMT</t>
  </si>
  <si>
    <t>Fred DGS2 (1977-2020), observation for 1976 is the last quarter CMT in 1976.</t>
  </si>
  <si>
    <t>O</t>
  </si>
  <si>
    <t>J</t>
  </si>
  <si>
    <t>K</t>
  </si>
  <si>
    <t>L</t>
  </si>
  <si>
    <t>T</t>
  </si>
  <si>
    <t>AF</t>
  </si>
  <si>
    <t>AG</t>
  </si>
  <si>
    <t>AH</t>
  </si>
  <si>
    <t>AI</t>
  </si>
  <si>
    <t>AJ</t>
  </si>
  <si>
    <t>AK</t>
  </si>
  <si>
    <t>VAR_internationa AK</t>
  </si>
  <si>
    <t>VAR_international AL</t>
  </si>
  <si>
    <t>VAR_international AM</t>
  </si>
  <si>
    <t>NIPA Table 3.2, Table 1.1.4, Table 1.1.5</t>
  </si>
  <si>
    <t>NIPA Table 1.1.4, Table 1.1.5</t>
  </si>
  <si>
    <t>CRSP stock return data files, use code"createpdratiostocks_Nov2021.m"</t>
  </si>
  <si>
    <t>Q</t>
  </si>
  <si>
    <t>Market value of marketable debt is from Hall, Payne and Sargent "US Federal Debt 1776-1960: Quantities and Prices", and GDP data from JST Database</t>
  </si>
  <si>
    <t>CRSP treasury monthly series</t>
  </si>
  <si>
    <t>The government spending is current expenditure (Line 24 in NIPA Table 3.2) minus net interest expenses which is interest payments (Line 33) minus interest receipts (Line 14). GDP is from NIPA Table 1.1.5 Line 1.</t>
  </si>
  <si>
    <t>The tax revenue is current receipts (Line 1 in NIPA Table 3.2). GDP is from NIPA Table 1.1.5 Line 1.</t>
  </si>
  <si>
    <t>Nominal GDP is from Line 1 of NIPA Table 1.1.5 and CPI is from Line 1 of NIPA Table 1.1.4.</t>
  </si>
  <si>
    <t>Line 1 of NIPA Table 1.1.4</t>
  </si>
  <si>
    <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</si>
</sst>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
  </numFmts>
  <fonts count="6" x14ac:knownFonts="1">
    <font>
      <sz val="10"/>
      <name val="Arial"/>
    </font>
    <font>
      <sz val="10"/>
      <name val="Arial"/>
      <family val="2"/>
    </font>
    <font>
      <sz val="12"/>
      <name val="Arial"/>
      <family val="2"/>
    </font>
    <font>
      <sz val="11"/>
      <color theme="3"/>
      <name val="Arial"/>
      <family val="2"/>
    </font>
    <font>
      <sz val="11"/>
      <color indexed="8"/>
      <name val="Calibri"/>
      <family val="2"/>
      <scheme val="minor"/>
    </font>
    <font>
      <b/>
      <sz val="1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8">
    <xf numFmtId="0" fontId="0" fillId="0" borderId="0"/>
    <xf numFmtId="0" fontId="2" fillId="0" borderId="0"/>
    <xf numFmtId="0" fontId="1" fillId="0" borderId="0"/>
    <xf numFmtId="0" fontId="3" fillId="0" borderId="0" applyNumberFormat="0" applyFill="0" applyBorder="0" applyAlignment="0" applyProtection="0">
      <alignment vertical="top"/>
      <protection locked="0"/>
    </xf>
    <xf numFmtId="0" fontId="1" fillId="0" borderId="0"/>
    <xf numFmtId="0" fontId="1" fillId="0" borderId="0"/>
    <xf numFmtId="43" fontId="1" fillId="0" borderId="0" applyFont="0" applyFill="0" applyBorder="0" applyAlignment="0" applyProtection="0"/>
    <xf numFmtId="0" fontId="4" fillId="0" borderId="0"/>
  </cellStyleXfs>
  <cellXfs count="23">
    <xf numFmtId="0" fontId="0" fillId="0" borderId="0" xfId="0"/>
    <xf numFmtId="0" fontId="0" fillId="2" borderId="0" xfId="0" applyFill="1"/>
    <xf numFmtId="0" fontId="1" fillId="0" borderId="0" xfId="0" applyFont="1"/>
    <xf numFmtId="2" fontId="0" fillId="0" borderId="0" xfId="0" applyNumberFormat="1" applyAlignment="1">
      <alignment horizontal="center"/>
    </xf>
    <xf numFmtId="1" fontId="1" fillId="0" borderId="0" xfId="0" applyNumberFormat="1" applyFont="1" applyAlignment="1">
      <alignment horizontal="center"/>
    </xf>
    <xf numFmtId="2" fontId="0" fillId="0" borderId="0" xfId="0" applyNumberFormat="1"/>
    <xf numFmtId="0" fontId="0" fillId="0" borderId="0" xfId="0" applyAlignment="1">
      <alignment horizontal="center"/>
    </xf>
    <xf numFmtId="0" fontId="1" fillId="0" borderId="0" xfId="0" applyFont="1" applyAlignment="1">
      <alignment horizontal="center"/>
    </xf>
    <xf numFmtId="164" fontId="0" fillId="0" borderId="0" xfId="0" applyNumberFormat="1"/>
    <xf numFmtId="1" fontId="1" fillId="2" borderId="0" xfId="0" applyNumberFormat="1" applyFont="1" applyFill="1" applyAlignment="1">
      <alignment horizontal="center"/>
    </xf>
    <xf numFmtId="0" fontId="1" fillId="0" borderId="0" xfId="0" applyFont="1" applyAlignment="1">
      <alignment horizontal="center" vertical="center"/>
    </xf>
    <xf numFmtId="0" fontId="1" fillId="0" borderId="0" xfId="0" applyFont="1" applyAlignment="1">
      <alignment wrapText="1"/>
    </xf>
    <xf numFmtId="16" fontId="1" fillId="0" borderId="0" xfId="0" applyNumberFormat="1" applyFont="1"/>
    <xf numFmtId="0" fontId="5" fillId="0" borderId="0" xfId="0" applyFont="1" applyAlignment="1">
      <alignment horizontal="center"/>
    </xf>
    <xf numFmtId="2" fontId="1" fillId="0" borderId="0" xfId="5" applyNumberFormat="1"/>
    <xf numFmtId="2" fontId="1" fillId="0" borderId="0" xfId="0" applyNumberFormat="1" applyFont="1"/>
    <xf numFmtId="2" fontId="1" fillId="0" borderId="0" xfId="0" applyNumberFormat="1" applyFont="1" applyAlignment="1">
      <alignment horizontal="center"/>
    </xf>
    <xf numFmtId="164" fontId="1" fillId="0" borderId="0" xfId="0" applyNumberFormat="1" applyFont="1"/>
    <xf numFmtId="0" fontId="0" fillId="0" borderId="0" xfId="0" applyAlignment="1">
      <alignment horizontal="left" wrapText="1"/>
    </xf>
    <xf numFmtId="0" fontId="1" fillId="0" borderId="0" xfId="0" applyFont="1"/>
    <xf numFmtId="0" fontId="0" fillId="0" borderId="0" xfId="0"/>
    <xf numFmtId="0" fontId="1" fillId="0" borderId="0" xfId="0" applyFont="1" applyAlignment="1">
      <alignment wrapText="1"/>
    </xf>
    <xf numFmtId="0" fontId="0" fillId="0" borderId="0" xfId="0" applyAlignment="1">
      <alignment wrapText="1"/>
    </xf>
  </cellXfs>
  <cellStyles count="8">
    <cellStyle name="Comma 2" xfId="6" xr:uid="{00000000-0005-0000-0000-000000000000}"/>
    <cellStyle name="Hyperlink 6" xfId="3" xr:uid="{00000000-0005-0000-0000-000002000000}"/>
    <cellStyle name="Normal" xfId="0" builtinId="0"/>
    <cellStyle name="Normal 2" xfId="7" xr:uid="{00000000-0005-0000-0000-000004000000}"/>
    <cellStyle name="Normal 2 2" xfId="5" xr:uid="{00000000-0005-0000-0000-000005000000}"/>
    <cellStyle name="Normal 2 3" xfId="1" xr:uid="{00000000-0005-0000-0000-000006000000}"/>
    <cellStyle name="Normal 2 3 2" xfId="4" xr:uid="{00000000-0005-0000-0000-000007000000}"/>
    <cellStyle name="Normal 3 2" xfId="2"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75F35-B720-4CD0-B886-6C373E28C4EC}">
  <dimension ref="A1:G36"/>
  <sheetViews>
    <sheetView topLeftCell="C10" workbookViewId="0">
      <selection activeCell="G20" sqref="G20"/>
    </sheetView>
  </sheetViews>
  <sheetFormatPr defaultColWidth="8.796875" defaultRowHeight="12.75" x14ac:dyDescent="0.35"/>
  <cols>
    <col min="1" max="1" width="11.1328125" customWidth="1"/>
    <col min="2" max="2" width="20" customWidth="1"/>
    <col min="3" max="3" width="57.1328125" customWidth="1"/>
    <col min="4" max="4" width="34.46484375" customWidth="1"/>
    <col min="6" max="6" width="46.1328125" customWidth="1"/>
  </cols>
  <sheetData>
    <row r="1" spans="1:7" x14ac:dyDescent="0.35">
      <c r="A1" t="s">
        <v>58</v>
      </c>
    </row>
    <row r="3" spans="1:7" x14ac:dyDescent="0.35">
      <c r="A3" s="7" t="s">
        <v>27</v>
      </c>
      <c r="B3" s="10" t="s">
        <v>28</v>
      </c>
      <c r="C3" s="10" t="s">
        <v>59</v>
      </c>
      <c r="D3" s="2" t="s">
        <v>29</v>
      </c>
      <c r="G3" t="s">
        <v>30</v>
      </c>
    </row>
    <row r="4" spans="1:7" ht="13.5" customHeight="1" x14ac:dyDescent="0.35">
      <c r="A4" s="7" t="s">
        <v>31</v>
      </c>
      <c r="B4" s="7" t="s">
        <v>1</v>
      </c>
      <c r="C4" s="2" t="s">
        <v>32</v>
      </c>
      <c r="D4" s="21" t="s">
        <v>120</v>
      </c>
      <c r="E4" s="20"/>
      <c r="F4" s="20"/>
      <c r="G4" s="2" t="s">
        <v>113</v>
      </c>
    </row>
    <row r="5" spans="1:7" x14ac:dyDescent="0.35">
      <c r="A5" s="7" t="s">
        <v>33</v>
      </c>
      <c r="B5" s="7" t="s">
        <v>2</v>
      </c>
      <c r="C5" s="11" t="s">
        <v>34</v>
      </c>
      <c r="D5" s="21" t="s">
        <v>119</v>
      </c>
      <c r="E5" s="22"/>
      <c r="F5" s="22"/>
      <c r="G5" s="2" t="s">
        <v>113</v>
      </c>
    </row>
    <row r="6" spans="1:7" x14ac:dyDescent="0.35">
      <c r="A6" s="7" t="s">
        <v>35</v>
      </c>
      <c r="B6" s="7" t="s">
        <v>3</v>
      </c>
      <c r="C6" s="2" t="s">
        <v>36</v>
      </c>
      <c r="D6" s="19" t="s">
        <v>37</v>
      </c>
      <c r="E6" s="20"/>
      <c r="F6" s="20"/>
      <c r="G6" s="2" t="s">
        <v>113</v>
      </c>
    </row>
    <row r="7" spans="1:7" x14ac:dyDescent="0.35">
      <c r="A7" s="7" t="s">
        <v>38</v>
      </c>
      <c r="B7" s="7" t="s">
        <v>4</v>
      </c>
      <c r="C7" s="2" t="s">
        <v>39</v>
      </c>
      <c r="D7" s="19" t="s">
        <v>121</v>
      </c>
      <c r="E7" s="20"/>
      <c r="F7" s="20"/>
      <c r="G7" s="2" t="s">
        <v>114</v>
      </c>
    </row>
    <row r="8" spans="1:7" x14ac:dyDescent="0.35">
      <c r="A8" s="7" t="s">
        <v>40</v>
      </c>
      <c r="B8" s="7" t="s">
        <v>5</v>
      </c>
      <c r="C8" s="2" t="s">
        <v>41</v>
      </c>
      <c r="D8" s="19" t="s">
        <v>122</v>
      </c>
      <c r="E8" s="20"/>
      <c r="F8" s="20"/>
      <c r="G8" s="2" t="s">
        <v>114</v>
      </c>
    </row>
    <row r="9" spans="1:7" x14ac:dyDescent="0.35">
      <c r="A9" s="7" t="s">
        <v>123</v>
      </c>
      <c r="B9" s="7" t="s">
        <v>43</v>
      </c>
      <c r="C9" s="2" t="s">
        <v>44</v>
      </c>
      <c r="D9" t="s">
        <v>45</v>
      </c>
      <c r="G9" s="2" t="s">
        <v>66</v>
      </c>
    </row>
    <row r="10" spans="1:7" x14ac:dyDescent="0.35">
      <c r="A10" s="7"/>
      <c r="B10" s="7" t="s">
        <v>46</v>
      </c>
      <c r="C10" s="2" t="s">
        <v>47</v>
      </c>
      <c r="D10" s="2" t="s">
        <v>48</v>
      </c>
      <c r="G10" s="2" t="s">
        <v>57</v>
      </c>
    </row>
    <row r="11" spans="1:7" x14ac:dyDescent="0.35">
      <c r="A11" s="7" t="s">
        <v>52</v>
      </c>
      <c r="B11" s="7" t="s">
        <v>12</v>
      </c>
      <c r="C11" s="2" t="s">
        <v>50</v>
      </c>
      <c r="D11" s="19" t="s">
        <v>51</v>
      </c>
      <c r="E11" s="20"/>
      <c r="F11" s="20"/>
      <c r="G11" t="s">
        <v>115</v>
      </c>
    </row>
    <row r="12" spans="1:7" x14ac:dyDescent="0.35">
      <c r="A12" s="7" t="s">
        <v>99</v>
      </c>
      <c r="B12" s="7" t="s">
        <v>13</v>
      </c>
      <c r="C12" s="2" t="s">
        <v>53</v>
      </c>
      <c r="D12" s="19" t="s">
        <v>54</v>
      </c>
      <c r="E12" s="20"/>
      <c r="F12" s="20"/>
      <c r="G12" t="s">
        <v>115</v>
      </c>
    </row>
    <row r="13" spans="1:7" x14ac:dyDescent="0.35">
      <c r="A13" s="6"/>
    </row>
    <row r="14" spans="1:7" x14ac:dyDescent="0.35">
      <c r="A14" s="6"/>
    </row>
    <row r="15" spans="1:7" x14ac:dyDescent="0.35">
      <c r="A15" s="6"/>
      <c r="C15" s="10" t="s">
        <v>60</v>
      </c>
    </row>
    <row r="16" spans="1:7" x14ac:dyDescent="0.35">
      <c r="A16" s="7" t="s">
        <v>42</v>
      </c>
      <c r="C16" t="s">
        <v>62</v>
      </c>
      <c r="D16" t="s">
        <v>63</v>
      </c>
      <c r="G16" t="s">
        <v>64</v>
      </c>
    </row>
    <row r="17" spans="1:7" x14ac:dyDescent="0.35">
      <c r="A17" s="7" t="s">
        <v>100</v>
      </c>
      <c r="C17" s="2" t="s">
        <v>96</v>
      </c>
      <c r="D17" s="2" t="s">
        <v>97</v>
      </c>
      <c r="G17" s="2" t="s">
        <v>98</v>
      </c>
    </row>
    <row r="18" spans="1:7" x14ac:dyDescent="0.35">
      <c r="A18" s="7" t="s">
        <v>101</v>
      </c>
      <c r="C18" t="s">
        <v>65</v>
      </c>
      <c r="D18" t="s">
        <v>61</v>
      </c>
      <c r="G18" t="s">
        <v>67</v>
      </c>
    </row>
    <row r="19" spans="1:7" x14ac:dyDescent="0.35">
      <c r="A19" s="6"/>
      <c r="G19" t="s">
        <v>68</v>
      </c>
    </row>
    <row r="20" spans="1:7" x14ac:dyDescent="0.35">
      <c r="A20" s="7" t="s">
        <v>102</v>
      </c>
      <c r="C20" t="s">
        <v>69</v>
      </c>
      <c r="D20" t="s">
        <v>69</v>
      </c>
      <c r="G20" t="s">
        <v>70</v>
      </c>
    </row>
    <row r="21" spans="1:7" x14ac:dyDescent="0.35">
      <c r="A21" s="6"/>
      <c r="G21" t="s">
        <v>71</v>
      </c>
    </row>
    <row r="22" spans="1:7" x14ac:dyDescent="0.35">
      <c r="A22" s="7" t="s">
        <v>103</v>
      </c>
      <c r="C22" t="s">
        <v>72</v>
      </c>
      <c r="D22" t="s">
        <v>72</v>
      </c>
      <c r="G22" t="s">
        <v>73</v>
      </c>
    </row>
    <row r="23" spans="1:7" x14ac:dyDescent="0.35">
      <c r="A23" s="7" t="s">
        <v>49</v>
      </c>
      <c r="C23" t="s">
        <v>74</v>
      </c>
      <c r="D23" t="s">
        <v>74</v>
      </c>
      <c r="G23" t="s">
        <v>75</v>
      </c>
    </row>
    <row r="25" spans="1:7" x14ac:dyDescent="0.35">
      <c r="A25" s="7" t="s">
        <v>104</v>
      </c>
      <c r="C25" t="s">
        <v>76</v>
      </c>
      <c r="D25" t="s">
        <v>77</v>
      </c>
      <c r="G25" t="s">
        <v>81</v>
      </c>
    </row>
    <row r="26" spans="1:7" x14ac:dyDescent="0.35">
      <c r="A26" s="7" t="s">
        <v>105</v>
      </c>
      <c r="D26" t="s">
        <v>78</v>
      </c>
      <c r="G26" t="s">
        <v>82</v>
      </c>
    </row>
    <row r="27" spans="1:7" x14ac:dyDescent="0.35">
      <c r="A27" s="7" t="s">
        <v>106</v>
      </c>
      <c r="D27" t="s">
        <v>79</v>
      </c>
      <c r="G27" t="s">
        <v>83</v>
      </c>
    </row>
    <row r="28" spans="1:7" x14ac:dyDescent="0.35">
      <c r="A28" s="7" t="s">
        <v>107</v>
      </c>
      <c r="D28" t="s">
        <v>80</v>
      </c>
      <c r="G28" t="s">
        <v>84</v>
      </c>
    </row>
    <row r="29" spans="1:7" x14ac:dyDescent="0.35">
      <c r="A29" s="7" t="s">
        <v>108</v>
      </c>
      <c r="D29" t="s">
        <v>85</v>
      </c>
      <c r="G29" t="s">
        <v>86</v>
      </c>
    </row>
    <row r="31" spans="1:7" x14ac:dyDescent="0.35">
      <c r="A31" s="7" t="s">
        <v>109</v>
      </c>
      <c r="C31" t="s">
        <v>26</v>
      </c>
      <c r="D31" t="s">
        <v>87</v>
      </c>
      <c r="G31" s="2" t="s">
        <v>118</v>
      </c>
    </row>
    <row r="32" spans="1:7" x14ac:dyDescent="0.35">
      <c r="A32" s="7" t="s">
        <v>116</v>
      </c>
      <c r="C32" s="18" t="s">
        <v>55</v>
      </c>
      <c r="D32" s="2" t="s">
        <v>56</v>
      </c>
      <c r="G32" s="2" t="s">
        <v>117</v>
      </c>
    </row>
    <row r="34" spans="1:7" x14ac:dyDescent="0.35">
      <c r="A34" s="7" t="s">
        <v>110</v>
      </c>
      <c r="C34" s="2" t="s">
        <v>88</v>
      </c>
      <c r="D34" s="2" t="s">
        <v>92</v>
      </c>
      <c r="G34" s="2" t="s">
        <v>91</v>
      </c>
    </row>
    <row r="35" spans="1:7" x14ac:dyDescent="0.35">
      <c r="A35" s="7" t="s">
        <v>111</v>
      </c>
      <c r="C35" s="2" t="s">
        <v>89</v>
      </c>
      <c r="D35" s="2" t="s">
        <v>93</v>
      </c>
      <c r="G35" s="2" t="s">
        <v>91</v>
      </c>
    </row>
    <row r="36" spans="1:7" x14ac:dyDescent="0.35">
      <c r="A36" s="7" t="s">
        <v>112</v>
      </c>
      <c r="C36" s="2" t="s">
        <v>90</v>
      </c>
      <c r="D36" s="2" t="s">
        <v>94</v>
      </c>
      <c r="G36" s="2" t="s">
        <v>91</v>
      </c>
    </row>
  </sheetData>
  <mergeCells count="7">
    <mergeCell ref="D12:F12"/>
    <mergeCell ref="D4:F4"/>
    <mergeCell ref="D5:F5"/>
    <mergeCell ref="D6:F6"/>
    <mergeCell ref="D7:F7"/>
    <mergeCell ref="D8:F8"/>
    <mergeCell ref="D11:F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98"/>
  <sheetViews>
    <sheetView zoomScale="115" zoomScaleNormal="115" workbookViewId="0">
      <pane xSplit="1" ySplit="1" topLeftCell="B2" activePane="bottomRight" state="frozen"/>
      <selection pane="topRight" activeCell="B1" sqref="B1"/>
      <selection pane="bottomLeft" activeCell="A2" sqref="A2"/>
      <selection pane="bottomRight" activeCell="P2" sqref="P2"/>
    </sheetView>
  </sheetViews>
  <sheetFormatPr defaultColWidth="8.6640625" defaultRowHeight="12.75" x14ac:dyDescent="0.35"/>
  <cols>
    <col min="1" max="1" width="10.6640625" style="15" customWidth="1"/>
    <col min="2" max="6" width="8.6640625" style="2"/>
    <col min="7" max="7" width="16.6640625" style="2" customWidth="1"/>
    <col min="8" max="13" width="10.6640625" style="2" customWidth="1"/>
    <col min="14" max="16384" width="8.6640625" style="2"/>
  </cols>
  <sheetData>
    <row r="1" spans="1:37" s="7" customFormat="1" x14ac:dyDescent="0.35">
      <c r="A1" s="16" t="s">
        <v>0</v>
      </c>
      <c r="B1" s="7" t="s">
        <v>1</v>
      </c>
      <c r="C1" s="7" t="s">
        <v>2</v>
      </c>
      <c r="D1" s="7" t="s">
        <v>3</v>
      </c>
      <c r="E1" s="7" t="s">
        <v>4</v>
      </c>
      <c r="F1" s="7" t="s">
        <v>5</v>
      </c>
      <c r="H1" s="7" t="s">
        <v>6</v>
      </c>
      <c r="I1" s="7" t="s">
        <v>7</v>
      </c>
      <c r="J1" s="7" t="s">
        <v>8</v>
      </c>
      <c r="K1" s="7" t="s">
        <v>9</v>
      </c>
      <c r="L1" s="7" t="s">
        <v>10</v>
      </c>
      <c r="M1" s="7" t="s">
        <v>11</v>
      </c>
      <c r="N1" s="7" t="s">
        <v>12</v>
      </c>
      <c r="O1" s="7" t="s">
        <v>13</v>
      </c>
      <c r="P1" s="7" t="s">
        <v>55</v>
      </c>
      <c r="Q1" s="7" t="s">
        <v>95</v>
      </c>
      <c r="R1" s="2"/>
      <c r="T1" s="2" t="s">
        <v>14</v>
      </c>
      <c r="V1" s="12"/>
      <c r="W1" s="12"/>
      <c r="X1" s="2"/>
      <c r="Y1" s="2"/>
      <c r="Z1" s="2"/>
      <c r="AA1" s="2"/>
      <c r="AB1" s="2"/>
      <c r="AC1" s="2"/>
      <c r="AD1" s="2"/>
      <c r="AE1" s="2"/>
      <c r="AF1" s="2" t="s">
        <v>15</v>
      </c>
      <c r="AG1" s="2" t="s">
        <v>16</v>
      </c>
      <c r="AH1" s="2" t="s">
        <v>17</v>
      </c>
      <c r="AI1" s="2" t="s">
        <v>18</v>
      </c>
      <c r="AJ1" s="2" t="s">
        <v>19</v>
      </c>
      <c r="AK1" s="7" t="s">
        <v>26</v>
      </c>
    </row>
    <row r="2" spans="1:37" x14ac:dyDescent="0.35">
      <c r="A2" s="4">
        <v>1929</v>
      </c>
      <c r="B2" s="2">
        <v>3.5372848948374766E-2</v>
      </c>
      <c r="C2" s="2">
        <v>2.4856596558317401E-2</v>
      </c>
      <c r="D2" s="2">
        <f>B2-C2</f>
        <v>1.0516252390057365E-2</v>
      </c>
      <c r="H2" s="2">
        <v>3.03</v>
      </c>
      <c r="I2" s="2">
        <f>H2</f>
        <v>3.03</v>
      </c>
      <c r="L2" s="2">
        <v>3.36</v>
      </c>
      <c r="N2" s="2">
        <v>3.0776026239003849</v>
      </c>
      <c r="O2" s="2">
        <v>0.10321026692195287</v>
      </c>
      <c r="Q2">
        <v>0.14987339601558319</v>
      </c>
    </row>
    <row r="3" spans="1:37" x14ac:dyDescent="0.35">
      <c r="A3" s="4">
        <f>A2+1</f>
        <v>1930</v>
      </c>
      <c r="B3" s="2">
        <v>3.1453362255965289E-2</v>
      </c>
      <c r="C3" s="2">
        <v>2.9284164859002166E-2</v>
      </c>
      <c r="D3" s="2">
        <f t="shared" ref="D3:D66" si="0">B3-C3</f>
        <v>2.1691973969631233E-3</v>
      </c>
      <c r="E3" s="2">
        <v>-8.6762496201087114E-2</v>
      </c>
      <c r="F3" s="2">
        <v>-3.9420924867187512E-2</v>
      </c>
      <c r="H3" s="2">
        <v>1.48</v>
      </c>
      <c r="I3" s="2">
        <f t="shared" ref="I3:I12" si="1">H3</f>
        <v>1.48</v>
      </c>
      <c r="L3" s="2">
        <v>3.22</v>
      </c>
      <c r="N3" s="2">
        <v>2.7594908852768083</v>
      </c>
      <c r="O3" s="2">
        <v>-7.2186129587204648E-2</v>
      </c>
      <c r="Q3">
        <v>0.16837581199479393</v>
      </c>
      <c r="AK3" s="2">
        <v>4.9081835573126842E-2</v>
      </c>
    </row>
    <row r="4" spans="1:37" x14ac:dyDescent="0.35">
      <c r="A4" s="4">
        <f t="shared" ref="A4:A67" si="2">A3+1</f>
        <v>1931</v>
      </c>
      <c r="B4" s="2">
        <v>2.4547803617571057E-2</v>
      </c>
      <c r="C4" s="2">
        <v>5.0387596899224806E-2</v>
      </c>
      <c r="D4" s="2">
        <f t="shared" si="0"/>
        <v>-2.5839793281653749E-2</v>
      </c>
      <c r="E4" s="2">
        <v>-7.0941149757836275E-2</v>
      </c>
      <c r="F4" s="2">
        <v>-0.10403220020903037</v>
      </c>
      <c r="H4" s="2">
        <v>2.41</v>
      </c>
      <c r="I4" s="2">
        <f t="shared" si="1"/>
        <v>2.41</v>
      </c>
      <c r="L4" s="2">
        <v>3.93</v>
      </c>
      <c r="N4" s="2">
        <v>2.3552738640993414</v>
      </c>
      <c r="O4" s="2">
        <v>-0.25109065479123027</v>
      </c>
      <c r="Q4">
        <v>0.21616847854534882</v>
      </c>
      <c r="AK4" s="2">
        <v>-0.1339870307478761</v>
      </c>
    </row>
    <row r="5" spans="1:37" x14ac:dyDescent="0.35">
      <c r="A5" s="4">
        <f t="shared" si="2"/>
        <v>1932</v>
      </c>
      <c r="B5" s="2">
        <v>2.689075630252101E-2</v>
      </c>
      <c r="C5" s="2">
        <v>4.5378151260504207E-2</v>
      </c>
      <c r="D5" s="2">
        <f t="shared" si="0"/>
        <v>-1.8487394957983197E-2</v>
      </c>
      <c r="E5" s="2">
        <v>-0.14204205472027986</v>
      </c>
      <c r="F5" s="2">
        <v>-0.12096841332381736</v>
      </c>
      <c r="H5" s="2">
        <v>8.5000000000000006E-2</v>
      </c>
      <c r="I5" s="2">
        <f t="shared" si="1"/>
        <v>8.5000000000000006E-2</v>
      </c>
      <c r="L5" s="2">
        <v>3.35</v>
      </c>
      <c r="N5" s="2">
        <v>2.7154896353541438</v>
      </c>
      <c r="O5" s="2">
        <v>-0.53289580641289092</v>
      </c>
      <c r="Q5">
        <v>0.34683288270655466</v>
      </c>
      <c r="AK5" s="2">
        <v>0.13774451096533546</v>
      </c>
    </row>
    <row r="6" spans="1:37" x14ac:dyDescent="0.35">
      <c r="A6" s="4">
        <f t="shared" si="2"/>
        <v>1933</v>
      </c>
      <c r="B6" s="2">
        <v>4.5454545454545456E-2</v>
      </c>
      <c r="C6" s="2">
        <v>5.5944055944055951E-2</v>
      </c>
      <c r="D6" s="2">
        <f t="shared" si="0"/>
        <v>-1.0489510489510495E-2</v>
      </c>
      <c r="E6" s="2">
        <v>-1.2000320461376557E-2</v>
      </c>
      <c r="F6" s="2">
        <v>-2.7422093704455142E-2</v>
      </c>
      <c r="H6" s="2">
        <v>0.69499999999999995</v>
      </c>
      <c r="I6" s="2">
        <f t="shared" si="1"/>
        <v>0.69499999999999995</v>
      </c>
      <c r="L6" s="2">
        <v>3.53</v>
      </c>
      <c r="N6" s="2">
        <v>3.3333019819026712</v>
      </c>
      <c r="O6" s="2">
        <v>-0.20984513299799365</v>
      </c>
      <c r="Q6">
        <v>0.40482209163793703</v>
      </c>
      <c r="AK6" s="2">
        <v>5.2661228545354266E-3</v>
      </c>
    </row>
    <row r="7" spans="1:37" x14ac:dyDescent="0.35">
      <c r="A7" s="4">
        <f t="shared" si="2"/>
        <v>1934</v>
      </c>
      <c r="B7" s="2">
        <v>5.089820359281437E-2</v>
      </c>
      <c r="C7" s="2">
        <v>7.9341317365269462E-2</v>
      </c>
      <c r="D7" s="2">
        <f t="shared" si="0"/>
        <v>-2.8443113772455092E-2</v>
      </c>
      <c r="E7" s="2">
        <v>0.10767697982143298</v>
      </c>
      <c r="F7" s="2">
        <v>4.7472202335414604E-2</v>
      </c>
      <c r="H7" s="2">
        <v>0.2</v>
      </c>
      <c r="I7" s="2">
        <f t="shared" si="1"/>
        <v>0.2</v>
      </c>
      <c r="L7" s="2">
        <v>2.99</v>
      </c>
      <c r="N7" s="2">
        <v>3.1823614837437639</v>
      </c>
      <c r="O7" s="2">
        <v>0.14367915876649082</v>
      </c>
      <c r="Q7">
        <v>0.42319495914056893</v>
      </c>
      <c r="AK7" s="2">
        <v>0.10447968625647719</v>
      </c>
    </row>
    <row r="8" spans="1:37" x14ac:dyDescent="0.35">
      <c r="A8" s="4">
        <f t="shared" si="2"/>
        <v>1935</v>
      </c>
      <c r="B8" s="2">
        <v>4.9865229110512131E-2</v>
      </c>
      <c r="C8" s="2">
        <v>7.2776280323450127E-2</v>
      </c>
      <c r="D8" s="2">
        <f t="shared" si="0"/>
        <v>-2.2911051212937995E-2</v>
      </c>
      <c r="E8" s="2">
        <v>8.5138483120544173E-2</v>
      </c>
      <c r="F8" s="2">
        <v>1.9922586510190632E-2</v>
      </c>
      <c r="H8" s="2">
        <v>0.15</v>
      </c>
      <c r="I8" s="2">
        <f t="shared" si="1"/>
        <v>0.15</v>
      </c>
      <c r="L8" s="2">
        <v>2.82</v>
      </c>
      <c r="N8" s="2">
        <v>3.4140314792191551</v>
      </c>
      <c r="O8" s="2">
        <v>0.10399749301162098</v>
      </c>
      <c r="Q8">
        <v>0.40056092812422617</v>
      </c>
      <c r="AK8" s="2">
        <v>7.4247573052708793E-2</v>
      </c>
    </row>
    <row r="9" spans="1:37" x14ac:dyDescent="0.35">
      <c r="A9" s="4">
        <f t="shared" si="2"/>
        <v>1936</v>
      </c>
      <c r="B9" s="2">
        <v>5.4245283018867919E-2</v>
      </c>
      <c r="C9" s="2">
        <v>8.9622641509433956E-2</v>
      </c>
      <c r="D9" s="2">
        <f t="shared" si="0"/>
        <v>-3.5377358490566037E-2</v>
      </c>
      <c r="E9" s="2">
        <v>0.12108090066702948</v>
      </c>
      <c r="F9" s="2">
        <v>1.2450491957492815E-2</v>
      </c>
      <c r="H9" s="2">
        <v>0.15</v>
      </c>
      <c r="I9" s="2">
        <f t="shared" si="1"/>
        <v>0.15</v>
      </c>
      <c r="L9" s="2">
        <v>2.52</v>
      </c>
      <c r="N9" s="2">
        <v>3.2208276276279277</v>
      </c>
      <c r="O9" s="2">
        <v>0.43932295330097215</v>
      </c>
      <c r="Q9">
        <v>0.39872935933439341</v>
      </c>
      <c r="AK9" s="2">
        <v>0.11702928574038141</v>
      </c>
    </row>
    <row r="10" spans="1:37" x14ac:dyDescent="0.35">
      <c r="A10" s="4">
        <f t="shared" si="2"/>
        <v>1937</v>
      </c>
      <c r="B10" s="2">
        <v>7.0967741935483872E-2</v>
      </c>
      <c r="C10" s="2">
        <v>6.4516129032258063E-2</v>
      </c>
      <c r="D10" s="2">
        <f t="shared" si="0"/>
        <v>6.451612903225809E-3</v>
      </c>
      <c r="E10" s="2">
        <v>5.6491190354937437E-2</v>
      </c>
      <c r="F10" s="2">
        <v>3.5812760000461186E-2</v>
      </c>
      <c r="H10" s="2">
        <v>0.11</v>
      </c>
      <c r="I10" s="2">
        <f t="shared" si="1"/>
        <v>0.11</v>
      </c>
      <c r="L10" s="2">
        <v>2.68</v>
      </c>
      <c r="N10" s="2">
        <v>2.6407227653883445</v>
      </c>
      <c r="O10" s="2">
        <v>0.10536841637767697</v>
      </c>
      <c r="Q10">
        <v>0.36931901271655909</v>
      </c>
      <c r="AK10" s="2">
        <v>3.2691787100538328E-3</v>
      </c>
    </row>
    <row r="11" spans="1:37" x14ac:dyDescent="0.35">
      <c r="A11" s="4">
        <f t="shared" si="2"/>
        <v>1938</v>
      </c>
      <c r="B11" s="2">
        <v>6.8649885583524028E-2</v>
      </c>
      <c r="C11" s="2">
        <v>8.1235697940503421E-2</v>
      </c>
      <c r="D11" s="2">
        <f t="shared" si="0"/>
        <v>-1.2585812356979392E-2</v>
      </c>
      <c r="E11" s="2">
        <v>-4.3388114880437367E-2</v>
      </c>
      <c r="F11" s="2">
        <v>-1.8716095611328587E-2</v>
      </c>
      <c r="H11" s="2">
        <v>0.02</v>
      </c>
      <c r="I11" s="2">
        <f t="shared" si="1"/>
        <v>0.02</v>
      </c>
      <c r="L11" s="2">
        <v>2.48</v>
      </c>
      <c r="N11" s="2">
        <v>3.3026885363117233</v>
      </c>
      <c r="O11" s="2">
        <v>-0.47116623129340768</v>
      </c>
      <c r="Q11">
        <v>0.41061488412917613</v>
      </c>
      <c r="AK11" s="2">
        <v>6.8703838935722406E-2</v>
      </c>
    </row>
    <row r="12" spans="1:37" x14ac:dyDescent="0.35">
      <c r="A12" s="4">
        <f t="shared" si="2"/>
        <v>1939</v>
      </c>
      <c r="B12" s="2">
        <v>6.7451820128479653E-2</v>
      </c>
      <c r="C12" s="2">
        <v>8.5653104925053541E-2</v>
      </c>
      <c r="D12" s="2">
        <f t="shared" si="0"/>
        <v>-1.8201284796573888E-2</v>
      </c>
      <c r="E12" s="2">
        <v>7.8896225337538706E-2</v>
      </c>
      <c r="F12" s="2">
        <v>-1.2500162764231604E-2</v>
      </c>
      <c r="H12" s="2">
        <v>0.04</v>
      </c>
      <c r="I12" s="2">
        <f t="shared" si="1"/>
        <v>0.04</v>
      </c>
      <c r="L12" s="2">
        <v>2.2999999999999998</v>
      </c>
      <c r="N12" s="2">
        <v>3.09596162629057</v>
      </c>
      <c r="O12" s="2">
        <v>0.18293818193584538</v>
      </c>
      <c r="Q12">
        <v>0.39727761683775403</v>
      </c>
      <c r="AK12" s="2">
        <v>5.5466599247984139E-2</v>
      </c>
    </row>
    <row r="13" spans="1:37" x14ac:dyDescent="0.35">
      <c r="A13" s="4">
        <f t="shared" si="2"/>
        <v>1940</v>
      </c>
      <c r="B13" s="2">
        <v>7.9689018464528652E-2</v>
      </c>
      <c r="C13" s="2">
        <v>7.9689018464528666E-2</v>
      </c>
      <c r="D13" s="2">
        <f t="shared" si="0"/>
        <v>0</v>
      </c>
      <c r="E13" s="2">
        <v>8.7866041194079259E-2</v>
      </c>
      <c r="F13" s="2">
        <v>9.0002564111277827E-3</v>
      </c>
      <c r="H13" s="2">
        <v>0.02</v>
      </c>
      <c r="I13" s="2">
        <v>0.67</v>
      </c>
      <c r="L13" s="2">
        <v>1.88</v>
      </c>
      <c r="N13" s="2">
        <v>2.836530425925718</v>
      </c>
      <c r="O13" s="2">
        <v>0.12653616431935408</v>
      </c>
      <c r="Q13">
        <v>0.37515163147667635</v>
      </c>
      <c r="AK13" s="2">
        <v>5.9628101615413875E-2</v>
      </c>
    </row>
    <row r="14" spans="1:37" x14ac:dyDescent="0.35">
      <c r="A14" s="4">
        <f t="shared" si="2"/>
        <v>1941</v>
      </c>
      <c r="B14" s="2">
        <v>0.11523588553750966</v>
      </c>
      <c r="C14" s="2">
        <v>0.10208816705336426</v>
      </c>
      <c r="D14" s="2">
        <f t="shared" si="0"/>
        <v>1.3147718484145393E-2</v>
      </c>
      <c r="E14" s="2">
        <v>0.16498410895286675</v>
      </c>
      <c r="F14" s="2">
        <v>6.3393533984941186E-2</v>
      </c>
      <c r="H14" s="2">
        <v>0.35</v>
      </c>
      <c r="I14" s="2">
        <v>0.66</v>
      </c>
      <c r="L14" s="2">
        <v>2.0699999999999998</v>
      </c>
      <c r="N14" s="2">
        <v>2.5722037868768468</v>
      </c>
      <c r="O14" s="2">
        <v>9.2821092686398127E-2</v>
      </c>
      <c r="Q14">
        <v>0.3375880500843122</v>
      </c>
      <c r="AK14" s="2">
        <v>3.358913792667062E-3</v>
      </c>
    </row>
    <row r="15" spans="1:37" x14ac:dyDescent="0.35">
      <c r="A15" s="4">
        <f t="shared" si="2"/>
        <v>1942</v>
      </c>
      <c r="B15" s="2">
        <v>0.13433734939759037</v>
      </c>
      <c r="C15" s="2">
        <v>0.19457831325301206</v>
      </c>
      <c r="D15" s="2">
        <f t="shared" si="0"/>
        <v>-6.0240963855421686E-2</v>
      </c>
      <c r="E15" s="2">
        <v>0.16978166986124776</v>
      </c>
      <c r="F15" s="2">
        <v>8.0070832717483498E-2</v>
      </c>
      <c r="H15" s="2">
        <v>0.38</v>
      </c>
      <c r="I15" s="2">
        <v>0.82</v>
      </c>
      <c r="L15" s="2">
        <v>2.11</v>
      </c>
      <c r="N15" s="2">
        <v>2.7950395674368962</v>
      </c>
      <c r="O15" s="2">
        <v>-0.14336594147508894</v>
      </c>
      <c r="Q15">
        <v>0.47257850411891567</v>
      </c>
      <c r="AK15" s="2">
        <v>3.0189169911220226E-2</v>
      </c>
    </row>
    <row r="16" spans="1:37" x14ac:dyDescent="0.35">
      <c r="A16" s="4">
        <f t="shared" si="2"/>
        <v>1943</v>
      </c>
      <c r="B16" s="2">
        <v>0.189561792220581</v>
      </c>
      <c r="C16" s="2">
        <v>0.26292466765140327</v>
      </c>
      <c r="D16" s="2">
        <f t="shared" si="0"/>
        <v>-7.3362875430822261E-2</v>
      </c>
      <c r="E16" s="2">
        <v>0.1550065929291482</v>
      </c>
      <c r="F16" s="2">
        <v>4.6704087300647679E-2</v>
      </c>
      <c r="H16" s="2">
        <v>0.38</v>
      </c>
      <c r="I16" s="2">
        <v>0.77</v>
      </c>
      <c r="L16" s="2">
        <v>2.12</v>
      </c>
      <c r="N16" s="2">
        <v>2.9829431117878609</v>
      </c>
      <c r="O16" s="2">
        <v>7.9813142792128314E-3</v>
      </c>
      <c r="Q16">
        <v>0.57826988228148701</v>
      </c>
      <c r="AK16" s="2">
        <v>3.2369952165501203E-2</v>
      </c>
    </row>
    <row r="17" spans="1:37" x14ac:dyDescent="0.35">
      <c r="A17" s="4">
        <f t="shared" si="2"/>
        <v>1944</v>
      </c>
      <c r="B17" s="2">
        <v>0.178698752228164</v>
      </c>
      <c r="C17" s="2">
        <v>0.29634581105169339</v>
      </c>
      <c r="D17" s="2">
        <f t="shared" si="0"/>
        <v>-0.11764705882352938</v>
      </c>
      <c r="E17" s="2">
        <v>7.6176239299393878E-2</v>
      </c>
      <c r="F17" s="2">
        <v>2.3555465762808314E-2</v>
      </c>
      <c r="H17" s="2">
        <v>0.38</v>
      </c>
      <c r="I17" s="2">
        <v>0.81</v>
      </c>
      <c r="L17" s="2">
        <v>2.1</v>
      </c>
      <c r="N17" s="2">
        <v>3.0588695263894086</v>
      </c>
      <c r="O17" s="2">
        <v>6.8900701226286762E-2</v>
      </c>
      <c r="Q17">
        <v>0.73055303318864651</v>
      </c>
      <c r="AK17" s="2">
        <v>3.2795765968915536E-2</v>
      </c>
    </row>
    <row r="18" spans="1:37" x14ac:dyDescent="0.35">
      <c r="A18" s="4">
        <f t="shared" si="2"/>
        <v>1945</v>
      </c>
      <c r="B18" s="2">
        <v>0.18201754385964913</v>
      </c>
      <c r="C18" s="2">
        <v>0.30482456140350878</v>
      </c>
      <c r="D18" s="2">
        <f t="shared" si="0"/>
        <v>-0.12280701754385964</v>
      </c>
      <c r="E18" s="2">
        <v>-8.736233219069689E-3</v>
      </c>
      <c r="F18" s="2">
        <v>2.4651688524969018E-2</v>
      </c>
      <c r="H18" s="2">
        <v>0.38</v>
      </c>
      <c r="I18" s="2">
        <v>0.84</v>
      </c>
      <c r="L18" s="2">
        <v>1.67</v>
      </c>
      <c r="N18" s="2">
        <v>3.3341385397750849</v>
      </c>
      <c r="O18" s="2">
        <v>1.3009072820192572E-2</v>
      </c>
      <c r="Q18">
        <v>0.89333441757822096</v>
      </c>
      <c r="AK18" s="2">
        <v>5.0704447382772244E-2</v>
      </c>
    </row>
    <row r="19" spans="1:37" x14ac:dyDescent="0.35">
      <c r="A19" s="4">
        <f t="shared" si="2"/>
        <v>1946</v>
      </c>
      <c r="B19" s="2">
        <v>0.17362637362637362</v>
      </c>
      <c r="C19" s="2">
        <v>0.18637362637362639</v>
      </c>
      <c r="D19" s="2">
        <f t="shared" si="0"/>
        <v>-1.2747252747252774E-2</v>
      </c>
      <c r="E19" s="2">
        <v>-0.12081930669389784</v>
      </c>
      <c r="F19" s="2">
        <v>0.11862391613046208</v>
      </c>
      <c r="H19" s="2">
        <v>0.38</v>
      </c>
      <c r="I19" s="2">
        <v>0.85</v>
      </c>
      <c r="L19" s="2">
        <v>1.82</v>
      </c>
      <c r="N19" s="2">
        <v>3.1220247821836753</v>
      </c>
      <c r="O19" s="2">
        <v>0.10831860193039908</v>
      </c>
      <c r="P19">
        <v>0.66291865108079129</v>
      </c>
      <c r="Q19">
        <v>0.79585458128731335</v>
      </c>
      <c r="AK19" s="2">
        <v>1.9500300171401364E-2</v>
      </c>
    </row>
    <row r="20" spans="1:37" x14ac:dyDescent="0.35">
      <c r="A20" s="4">
        <f t="shared" si="2"/>
        <v>1947</v>
      </c>
      <c r="B20" s="2">
        <v>0.17147435897435898</v>
      </c>
      <c r="C20" s="2">
        <v>0.14022435897435898</v>
      </c>
      <c r="D20" s="2">
        <f t="shared" si="0"/>
        <v>3.125E-2</v>
      </c>
      <c r="E20" s="2">
        <v>-1.3813549346185283E-2</v>
      </c>
      <c r="F20" s="2">
        <v>0.10652294745045321</v>
      </c>
      <c r="H20" s="2">
        <v>0.96</v>
      </c>
      <c r="I20" s="2">
        <v>1.04</v>
      </c>
      <c r="K20" s="2">
        <v>1.54</v>
      </c>
      <c r="L20" s="2">
        <v>2.1800000000000002</v>
      </c>
      <c r="N20" s="2">
        <v>2.9061122414405207</v>
      </c>
      <c r="O20" s="2">
        <v>0.19822258708126025</v>
      </c>
      <c r="P20">
        <v>0.58373857533889117</v>
      </c>
      <c r="Q20">
        <v>0.6444870424749658</v>
      </c>
      <c r="AK20" s="2">
        <v>-2.4775691708362246E-2</v>
      </c>
    </row>
    <row r="21" spans="1:37" x14ac:dyDescent="0.35">
      <c r="A21" s="4">
        <f t="shared" si="2"/>
        <v>1948</v>
      </c>
      <c r="B21" s="2">
        <v>0.15446265938069217</v>
      </c>
      <c r="C21" s="2">
        <v>0.13041894353369762</v>
      </c>
      <c r="D21" s="2">
        <f t="shared" si="0"/>
        <v>2.4043715846994551E-2</v>
      </c>
      <c r="E21" s="2">
        <v>3.9872863947425952E-2</v>
      </c>
      <c r="F21" s="2">
        <v>5.5218760506886788E-2</v>
      </c>
      <c r="H21" s="2">
        <v>1.1599999999999999</v>
      </c>
      <c r="I21" s="2">
        <v>1.22</v>
      </c>
      <c r="K21" s="2">
        <v>1.64</v>
      </c>
      <c r="L21" s="2">
        <v>2.12</v>
      </c>
      <c r="N21" s="2">
        <v>2.7373849263389292</v>
      </c>
      <c r="O21" s="2">
        <v>0.13171077273301104</v>
      </c>
      <c r="P21">
        <v>0.54578467004092368</v>
      </c>
      <c r="Q21">
        <v>0.56820971104688156</v>
      </c>
      <c r="AK21" s="2">
        <v>-2.2743999490756561E-2</v>
      </c>
    </row>
    <row r="22" spans="1:37" x14ac:dyDescent="0.35">
      <c r="A22" s="4">
        <f t="shared" si="2"/>
        <v>1949</v>
      </c>
      <c r="B22" s="2">
        <v>0.13908256880733944</v>
      </c>
      <c r="C22" s="2">
        <v>0.14825688073394494</v>
      </c>
      <c r="D22" s="2">
        <f t="shared" si="0"/>
        <v>-9.1743119266055051E-3</v>
      </c>
      <c r="E22" s="2">
        <v>-7.0034083436287808E-3</v>
      </c>
      <c r="F22" s="2">
        <v>-3.0923850265773822E-4</v>
      </c>
      <c r="H22" s="2">
        <v>1.0900000000000001</v>
      </c>
      <c r="I22" s="2">
        <v>1.0900000000000001</v>
      </c>
      <c r="K22" s="2">
        <v>1.37</v>
      </c>
      <c r="L22" s="2">
        <v>1.8</v>
      </c>
      <c r="N22" s="2">
        <v>2.7732610715138013</v>
      </c>
      <c r="O22" s="2">
        <v>8.0304679620965755E-2</v>
      </c>
      <c r="P22">
        <v>0.58583662621114196</v>
      </c>
      <c r="Q22">
        <v>0.5876666323971369</v>
      </c>
      <c r="AK22" s="2">
        <v>-6.1962009239132643E-3</v>
      </c>
    </row>
    <row r="23" spans="1:37" x14ac:dyDescent="0.35">
      <c r="A23" s="4">
        <f t="shared" si="2"/>
        <v>1950</v>
      </c>
      <c r="B23" s="2">
        <v>0.16277518345563707</v>
      </c>
      <c r="C23" s="2">
        <v>0.13575717144763172</v>
      </c>
      <c r="D23" s="2">
        <f t="shared" si="0"/>
        <v>2.7018012008005354E-2</v>
      </c>
      <c r="E23" s="2">
        <v>8.6087953847213683E-2</v>
      </c>
      <c r="F23" s="2">
        <v>9.3890177179849488E-3</v>
      </c>
      <c r="H23" s="2">
        <v>1.37</v>
      </c>
      <c r="I23" s="2">
        <v>1.47</v>
      </c>
      <c r="K23" s="2">
        <v>1.64</v>
      </c>
      <c r="L23" s="2">
        <v>2.1800000000000002</v>
      </c>
      <c r="N23" s="2">
        <v>2.7598406506511375</v>
      </c>
      <c r="O23" s="2">
        <v>0.21791474658865367</v>
      </c>
      <c r="P23">
        <v>0.47780233749510781</v>
      </c>
      <c r="Q23">
        <v>0.46401121800687617</v>
      </c>
      <c r="AK23" s="2">
        <v>-2.8567831464680449E-2</v>
      </c>
    </row>
    <row r="24" spans="1:37" x14ac:dyDescent="0.35">
      <c r="A24" s="4">
        <f t="shared" si="2"/>
        <v>1951</v>
      </c>
      <c r="B24" s="2">
        <v>0.18132026520611128</v>
      </c>
      <c r="C24" s="2">
        <v>0.14961083885846066</v>
      </c>
      <c r="D24" s="2">
        <f t="shared" si="0"/>
        <v>3.1709426347650616E-2</v>
      </c>
      <c r="E24" s="2">
        <v>8.0329765125920716E-2</v>
      </c>
      <c r="F24" s="2">
        <v>6.5591203181285529E-2</v>
      </c>
      <c r="H24" s="2">
        <v>1.88</v>
      </c>
      <c r="I24" s="2">
        <v>1.9</v>
      </c>
      <c r="K24" s="2">
        <v>2.09</v>
      </c>
      <c r="L24" s="2">
        <v>2.5099999999999998</v>
      </c>
      <c r="N24" s="2">
        <v>2.9121885580966747</v>
      </c>
      <c r="O24" s="2">
        <v>-2.2486827285245266E-2</v>
      </c>
      <c r="P24">
        <v>0.39677690601101906</v>
      </c>
      <c r="Q24">
        <v>0.39709628307104872</v>
      </c>
      <c r="AK24" s="2">
        <v>4.1805189001880461E-2</v>
      </c>
    </row>
    <row r="25" spans="1:37" x14ac:dyDescent="0.35">
      <c r="A25" s="4">
        <f t="shared" si="2"/>
        <v>1952</v>
      </c>
      <c r="B25" s="2">
        <v>0.17914511298665939</v>
      </c>
      <c r="C25" s="2">
        <v>0.16634903348761232</v>
      </c>
      <c r="D25" s="2">
        <f t="shared" si="0"/>
        <v>1.2796079499047069E-2</v>
      </c>
      <c r="E25" s="2">
        <v>3.5569038766764205E-2</v>
      </c>
      <c r="F25" s="2">
        <v>2.1573360083153581E-2</v>
      </c>
      <c r="H25" s="2">
        <v>2.2200000000000002</v>
      </c>
      <c r="I25" s="2">
        <v>2.06</v>
      </c>
      <c r="K25" s="2">
        <v>2.2999999999999998</v>
      </c>
      <c r="L25" s="2">
        <v>2.52</v>
      </c>
      <c r="N25" s="2">
        <v>2.9726166311578708</v>
      </c>
      <c r="O25" s="2">
        <v>1.0468298289580322E-2</v>
      </c>
      <c r="P25">
        <v>0.38613446870140489</v>
      </c>
      <c r="Q25">
        <v>0.38639431625542259</v>
      </c>
      <c r="AK25" s="2">
        <v>8.0747808530016618E-2</v>
      </c>
    </row>
    <row r="26" spans="1:37" x14ac:dyDescent="0.35">
      <c r="A26" s="4">
        <f t="shared" si="2"/>
        <v>1953</v>
      </c>
      <c r="B26" s="2">
        <v>0.17625899280575538</v>
      </c>
      <c r="C26" s="2">
        <v>0.16855087358684481</v>
      </c>
      <c r="D26" s="2">
        <f t="shared" si="0"/>
        <v>7.7081192189105696E-3</v>
      </c>
      <c r="E26" s="2">
        <v>4.5218028820278811E-2</v>
      </c>
      <c r="F26" s="2">
        <v>1.2696368665949809E-2</v>
      </c>
      <c r="H26" s="2">
        <v>1.48</v>
      </c>
      <c r="I26" s="2">
        <v>1.58</v>
      </c>
      <c r="K26" s="2">
        <v>2.3199999999999998</v>
      </c>
      <c r="L26" s="2">
        <v>2.59</v>
      </c>
      <c r="N26" s="2">
        <v>2.8975079172556835</v>
      </c>
      <c r="O26" s="2">
        <v>2.4673952664231127E-2</v>
      </c>
      <c r="P26">
        <v>0.40016624938928752</v>
      </c>
      <c r="Q26">
        <v>0.4004627901761017</v>
      </c>
      <c r="AK26" s="2">
        <v>5.7114660237781223E-2</v>
      </c>
    </row>
    <row r="27" spans="1:37" x14ac:dyDescent="0.35">
      <c r="A27" s="4">
        <f t="shared" si="2"/>
        <v>1954</v>
      </c>
      <c r="B27" s="2">
        <v>0.16005121638924455</v>
      </c>
      <c r="C27" s="2">
        <v>0.16107554417413572</v>
      </c>
      <c r="D27" s="2">
        <f t="shared" si="0"/>
        <v>-1.0243277848911714E-3</v>
      </c>
      <c r="E27" s="2">
        <v>-6.8723661987188933E-3</v>
      </c>
      <c r="F27" s="2">
        <v>1.0206985166609339E-2</v>
      </c>
      <c r="H27" s="2">
        <v>1.02</v>
      </c>
      <c r="I27" s="2">
        <v>1.1299999999999999</v>
      </c>
      <c r="K27" s="2">
        <v>2.16</v>
      </c>
      <c r="L27" s="2">
        <v>2.5099999999999998</v>
      </c>
      <c r="N27" s="2">
        <v>3.1992056270599094</v>
      </c>
      <c r="O27" s="2">
        <v>5.9528462200968961E-2</v>
      </c>
      <c r="P27">
        <v>0.395863853630673</v>
      </c>
      <c r="Q27">
        <v>0.39599018404183783</v>
      </c>
      <c r="AK27" s="2">
        <v>3.8258865235392348E-2</v>
      </c>
    </row>
    <row r="28" spans="1:37" x14ac:dyDescent="0.35">
      <c r="A28" s="4">
        <f t="shared" si="2"/>
        <v>1955</v>
      </c>
      <c r="B28" s="2">
        <v>0.16709753231492361</v>
      </c>
      <c r="C28" s="2">
        <v>0.14970622796709754</v>
      </c>
      <c r="D28" s="2">
        <f t="shared" si="0"/>
        <v>1.739130434782607E-2</v>
      </c>
      <c r="E28" s="2">
        <v>7.1801182461722846E-2</v>
      </c>
      <c r="F28" s="2">
        <v>1.4035796271965051E-2</v>
      </c>
      <c r="H28" s="2">
        <v>2.5</v>
      </c>
      <c r="I28" s="2">
        <v>2.73</v>
      </c>
      <c r="K28" s="2">
        <v>2.93</v>
      </c>
      <c r="L28" s="2">
        <v>2.96</v>
      </c>
      <c r="N28" s="2">
        <v>3.2707632107786035</v>
      </c>
      <c r="O28" s="2">
        <v>0.11631251422406558</v>
      </c>
      <c r="P28">
        <v>0.36734518533828636</v>
      </c>
      <c r="Q28">
        <v>0.36740044223376317</v>
      </c>
      <c r="AK28" s="2">
        <v>1.4642835599525839E-2</v>
      </c>
    </row>
    <row r="29" spans="1:37" x14ac:dyDescent="0.35">
      <c r="A29" s="4">
        <f t="shared" si="2"/>
        <v>1956</v>
      </c>
      <c r="B29" s="2">
        <v>0.16866933689363597</v>
      </c>
      <c r="C29" s="2">
        <v>0.14597240765465067</v>
      </c>
      <c r="D29" s="2">
        <f t="shared" si="0"/>
        <v>2.2696929238985308E-2</v>
      </c>
      <c r="E29" s="2">
        <v>2.0985950437163226E-2</v>
      </c>
      <c r="F29" s="2">
        <v>3.3662461300636881E-2</v>
      </c>
      <c r="H29" s="2">
        <v>3.22</v>
      </c>
      <c r="I29" s="2">
        <v>3.4</v>
      </c>
      <c r="K29" s="2">
        <v>3.7</v>
      </c>
      <c r="L29" s="2">
        <v>3.59</v>
      </c>
      <c r="N29" s="2">
        <v>3.2419100836157839</v>
      </c>
      <c r="O29" s="2">
        <v>7.2376552273911515E-2</v>
      </c>
      <c r="P29">
        <v>0.33453703063767659</v>
      </c>
      <c r="Q29">
        <v>0.33462728003340114</v>
      </c>
      <c r="AK29" s="2">
        <v>-1.1989835609151789E-2</v>
      </c>
    </row>
    <row r="30" spans="1:37" x14ac:dyDescent="0.35">
      <c r="A30" s="4">
        <f t="shared" si="2"/>
        <v>1957</v>
      </c>
      <c r="B30" s="2">
        <v>0.16729957805907172</v>
      </c>
      <c r="C30" s="2">
        <v>0.15189873417721519</v>
      </c>
      <c r="D30" s="2">
        <f t="shared" si="0"/>
        <v>1.540084388185653E-2</v>
      </c>
      <c r="E30" s="2">
        <v>1.8956376425032229E-2</v>
      </c>
      <c r="F30" s="2">
        <v>3.4337585518815494E-2</v>
      </c>
      <c r="H30" s="2">
        <v>2.75</v>
      </c>
      <c r="I30" s="2">
        <v>2.96</v>
      </c>
      <c r="K30" s="2">
        <v>3.08</v>
      </c>
      <c r="L30" s="2">
        <v>3.21</v>
      </c>
      <c r="N30" s="2">
        <v>3.0557882124966818</v>
      </c>
      <c r="O30" s="2">
        <v>3.4775237291123091E-2</v>
      </c>
      <c r="P30">
        <v>0.33821599417570031</v>
      </c>
      <c r="Q30">
        <v>0.34134221922721031</v>
      </c>
      <c r="AK30" s="2">
        <v>6.2522066995740033E-2</v>
      </c>
    </row>
    <row r="31" spans="1:37" x14ac:dyDescent="0.35">
      <c r="A31" s="4">
        <f t="shared" si="2"/>
        <v>1958</v>
      </c>
      <c r="B31" s="2">
        <v>0.1581463009143807</v>
      </c>
      <c r="C31" s="2">
        <v>0.16230257689110555</v>
      </c>
      <c r="D31" s="2">
        <f t="shared" si="0"/>
        <v>-4.1562759767248547E-3</v>
      </c>
      <c r="E31" s="2">
        <v>-7.9196022686636169E-3</v>
      </c>
      <c r="F31" s="2">
        <v>2.2995264674111393E-2</v>
      </c>
      <c r="H31" s="2">
        <v>2.68</v>
      </c>
      <c r="I31" s="2">
        <v>3.18</v>
      </c>
      <c r="K31" s="2">
        <v>3.82</v>
      </c>
      <c r="L31" s="2">
        <v>3.86</v>
      </c>
      <c r="N31" s="2">
        <v>3.4205938561763571</v>
      </c>
      <c r="O31" s="2">
        <v>-3.4631021884897528E-2</v>
      </c>
      <c r="P31">
        <v>0.33770200387714172</v>
      </c>
      <c r="Q31">
        <v>0.33736136941247713</v>
      </c>
      <c r="AK31" s="2">
        <v>-1.8163912271173865E-2</v>
      </c>
    </row>
    <row r="32" spans="1:37" x14ac:dyDescent="0.35">
      <c r="A32" s="4">
        <f t="shared" si="2"/>
        <v>1959</v>
      </c>
      <c r="B32" s="2">
        <v>0.16599578301705958</v>
      </c>
      <c r="C32" s="2">
        <v>0.15161970481119416</v>
      </c>
      <c r="D32" s="2">
        <f t="shared" si="0"/>
        <v>1.4376078205865422E-2</v>
      </c>
      <c r="E32" s="2">
        <v>6.7676674327222575E-2</v>
      </c>
      <c r="F32" s="2">
        <v>1.3133051600600076E-2</v>
      </c>
      <c r="H32" s="2">
        <v>4.4000000000000004</v>
      </c>
      <c r="I32" s="2">
        <v>5.03</v>
      </c>
      <c r="K32" s="2">
        <v>5.01</v>
      </c>
      <c r="L32" s="2">
        <v>4.6900000000000004</v>
      </c>
      <c r="N32" s="2">
        <v>3.4639249527516474</v>
      </c>
      <c r="O32" s="2">
        <v>4.4481147184726913E-2</v>
      </c>
      <c r="P32">
        <v>0.33548603349981088</v>
      </c>
      <c r="Q32">
        <v>0.33522282457934166</v>
      </c>
      <c r="AK32" s="2">
        <v>4.0937116660827E-2</v>
      </c>
    </row>
    <row r="33" spans="1:37" x14ac:dyDescent="0.35">
      <c r="A33" s="4">
        <f t="shared" si="2"/>
        <v>1960</v>
      </c>
      <c r="B33" s="2">
        <v>0.17256637168141592</v>
      </c>
      <c r="C33" s="2">
        <v>0.1489675516224189</v>
      </c>
      <c r="D33" s="2">
        <f t="shared" si="0"/>
        <v>2.3598820058997022E-2</v>
      </c>
      <c r="E33" s="2">
        <v>2.5346570103161881E-2</v>
      </c>
      <c r="F33" s="2">
        <v>1.3564456494677302E-2</v>
      </c>
      <c r="H33" s="2">
        <v>2.2000000000000002</v>
      </c>
      <c r="I33" s="2">
        <v>2.5</v>
      </c>
      <c r="K33" s="2">
        <v>3.67</v>
      </c>
      <c r="L33" s="2">
        <v>3.84</v>
      </c>
      <c r="N33" s="2">
        <v>3.4139790176771618</v>
      </c>
      <c r="O33" s="2">
        <v>2.763126036494469E-2</v>
      </c>
      <c r="P33">
        <v>0.34493764553022949</v>
      </c>
      <c r="Q33">
        <v>0.34501084330629378</v>
      </c>
      <c r="AK33" s="2">
        <v>8.7900580887879443E-2</v>
      </c>
    </row>
    <row r="34" spans="1:37" x14ac:dyDescent="0.35">
      <c r="A34" s="4">
        <f t="shared" si="2"/>
        <v>1961</v>
      </c>
      <c r="B34" s="2">
        <v>0.16915688367129134</v>
      </c>
      <c r="C34" s="2">
        <v>0.15528281750266806</v>
      </c>
      <c r="D34" s="2">
        <f t="shared" si="0"/>
        <v>1.3874066168623272E-2</v>
      </c>
      <c r="E34" s="2">
        <v>2.5264215059336959E-2</v>
      </c>
      <c r="F34" s="2">
        <v>1.0589706786908515E-2</v>
      </c>
      <c r="H34" s="2">
        <v>2.67</v>
      </c>
      <c r="I34" s="2">
        <v>3.03</v>
      </c>
      <c r="K34" s="2">
        <v>3.91</v>
      </c>
      <c r="L34" s="2">
        <v>4.0599999999999996</v>
      </c>
      <c r="N34" s="2">
        <v>3.5911727751286295</v>
      </c>
      <c r="O34" s="2">
        <v>3.2660314144095301E-2</v>
      </c>
      <c r="P34">
        <v>0.32960256878393918</v>
      </c>
      <c r="Q34">
        <v>0.32961216916403729</v>
      </c>
      <c r="AK34" s="2">
        <v>2.4767366298342086E-2</v>
      </c>
    </row>
    <row r="35" spans="1:37" x14ac:dyDescent="0.35">
      <c r="A35" s="4">
        <f t="shared" si="2"/>
        <v>1962</v>
      </c>
      <c r="B35" s="2">
        <v>0.17088922006954796</v>
      </c>
      <c r="C35" s="2">
        <v>0.1574764033780427</v>
      </c>
      <c r="D35" s="2">
        <f t="shared" si="0"/>
        <v>1.3412816691505264E-2</v>
      </c>
      <c r="E35" s="2">
        <v>5.9424583137636766E-2</v>
      </c>
      <c r="F35" s="2">
        <v>1.2126379703786938E-2</v>
      </c>
      <c r="H35" s="2">
        <v>2.92</v>
      </c>
      <c r="I35" s="15">
        <v>3.05</v>
      </c>
      <c r="K35" s="15">
        <v>3.56</v>
      </c>
      <c r="L35" s="2">
        <v>3.85</v>
      </c>
      <c r="N35" s="2">
        <v>3.3966409393786603</v>
      </c>
      <c r="O35" s="2">
        <v>5.2519695970573405E-2</v>
      </c>
      <c r="P35">
        <v>0.32474718169991845</v>
      </c>
      <c r="Q35">
        <v>0.32584561393854122</v>
      </c>
      <c r="T35" s="15">
        <v>3.92</v>
      </c>
      <c r="AK35" s="2">
        <v>2.367601570806932E-2</v>
      </c>
    </row>
    <row r="36" spans="1:37" x14ac:dyDescent="0.35">
      <c r="A36" s="4">
        <f t="shared" si="2"/>
        <v>1963</v>
      </c>
      <c r="B36" s="2">
        <v>0.17458823529411766</v>
      </c>
      <c r="C36" s="2">
        <v>0.15513725490196079</v>
      </c>
      <c r="D36" s="2">
        <f t="shared" si="0"/>
        <v>1.9450980392156869E-2</v>
      </c>
      <c r="E36" s="2">
        <v>4.2745690103415779E-2</v>
      </c>
      <c r="F36" s="2">
        <v>1.1399965615309871E-2</v>
      </c>
      <c r="H36" s="2">
        <v>3.51</v>
      </c>
      <c r="I36" s="15">
        <v>3.83</v>
      </c>
      <c r="K36" s="15">
        <v>4.0599999999999996</v>
      </c>
      <c r="L36" s="2">
        <v>4.1399999999999997</v>
      </c>
      <c r="N36" s="2">
        <v>3.49711303985872</v>
      </c>
      <c r="O36" s="2">
        <v>5.8325264349129061E-2</v>
      </c>
      <c r="P36">
        <v>0.30341029198515906</v>
      </c>
      <c r="Q36">
        <v>0.30800950636438013</v>
      </c>
      <c r="T36" s="15">
        <v>4.1900000000000004</v>
      </c>
      <c r="AK36" s="2">
        <v>3.0093358462422559E-2</v>
      </c>
    </row>
    <row r="37" spans="1:37" x14ac:dyDescent="0.35">
      <c r="A37" s="4">
        <f t="shared" si="2"/>
        <v>1964</v>
      </c>
      <c r="B37" s="2">
        <v>0.16260043827611395</v>
      </c>
      <c r="C37" s="2">
        <v>0.14959824689554418</v>
      </c>
      <c r="D37" s="2">
        <f t="shared" si="0"/>
        <v>1.3002191380569766E-2</v>
      </c>
      <c r="E37" s="2">
        <v>5.6019276652029326E-2</v>
      </c>
      <c r="F37" s="2">
        <v>1.5115091043893525E-2</v>
      </c>
      <c r="H37" s="2">
        <v>3.82</v>
      </c>
      <c r="I37" s="15">
        <v>3.99</v>
      </c>
      <c r="K37" s="15">
        <v>4.12</v>
      </c>
      <c r="L37" s="2">
        <v>4.21</v>
      </c>
      <c r="N37" s="2">
        <v>3.5367547003105169</v>
      </c>
      <c r="O37" s="2">
        <v>8.2397807056086722E-2</v>
      </c>
      <c r="P37">
        <v>0.29630485745928586</v>
      </c>
      <c r="Q37">
        <v>0.29745742557822175</v>
      </c>
      <c r="T37" s="15">
        <v>4.21</v>
      </c>
      <c r="AK37" s="2">
        <v>5.876079925660882E-2</v>
      </c>
    </row>
    <row r="38" spans="1:37" x14ac:dyDescent="0.35">
      <c r="A38" s="4">
        <f t="shared" si="2"/>
        <v>1965</v>
      </c>
      <c r="B38" s="2">
        <v>0.16219857200592755</v>
      </c>
      <c r="C38" s="2">
        <v>0.14697561632763034</v>
      </c>
      <c r="D38" s="2">
        <f t="shared" si="0"/>
        <v>1.5222955678297206E-2</v>
      </c>
      <c r="E38" s="2">
        <v>6.2908302253374515E-2</v>
      </c>
      <c r="F38" s="2">
        <v>1.815652714162308E-2</v>
      </c>
      <c r="H38" s="2">
        <v>4.49</v>
      </c>
      <c r="I38" s="15">
        <v>4.96</v>
      </c>
      <c r="K38" s="15">
        <v>4.88</v>
      </c>
      <c r="L38" s="2">
        <v>4.6500000000000004</v>
      </c>
      <c r="N38" s="2">
        <v>3.549473016394701</v>
      </c>
      <c r="O38" s="2">
        <v>9.2755062331183039E-2</v>
      </c>
      <c r="P38">
        <v>0.26736782743399407</v>
      </c>
      <c r="Q38">
        <v>0.26737953159431088</v>
      </c>
      <c r="T38" s="15">
        <v>4.5199999999999996</v>
      </c>
      <c r="AK38" s="2">
        <v>3.2559912298493199E-2</v>
      </c>
    </row>
    <row r="39" spans="1:37" x14ac:dyDescent="0.35">
      <c r="A39" s="4">
        <f t="shared" si="2"/>
        <v>1966</v>
      </c>
      <c r="B39" s="2">
        <v>0.16892058028030491</v>
      </c>
      <c r="C39" s="2">
        <v>0.15502827637078931</v>
      </c>
      <c r="D39" s="2">
        <f t="shared" si="0"/>
        <v>1.3892303909515596E-2</v>
      </c>
      <c r="E39" s="2">
        <v>6.3853258403673507E-2</v>
      </c>
      <c r="F39" s="2">
        <v>2.7616260945949378E-2</v>
      </c>
      <c r="H39" s="2">
        <v>4.8099999999999996</v>
      </c>
      <c r="I39" s="15">
        <v>5</v>
      </c>
      <c r="K39" s="15">
        <v>4.8</v>
      </c>
      <c r="L39" s="2">
        <v>4.6399999999999997</v>
      </c>
      <c r="N39" s="2">
        <v>3.3657624763169607</v>
      </c>
      <c r="O39" s="2">
        <v>6.0330527903269648E-2</v>
      </c>
      <c r="P39">
        <v>0.25408931189800188</v>
      </c>
      <c r="Q39">
        <v>0.25354732008671527</v>
      </c>
      <c r="T39" s="15">
        <v>4.58</v>
      </c>
      <c r="AK39" s="2">
        <v>5.2335863458355281E-2</v>
      </c>
    </row>
    <row r="40" spans="1:37" x14ac:dyDescent="0.35">
      <c r="A40" s="4">
        <f t="shared" si="2"/>
        <v>1967</v>
      </c>
      <c r="B40" s="2">
        <v>0.17011627906976745</v>
      </c>
      <c r="C40" s="2">
        <v>0.17</v>
      </c>
      <c r="D40" s="2">
        <f t="shared" si="0"/>
        <v>1.1627906976743874E-4</v>
      </c>
      <c r="E40" s="2">
        <v>2.7132941891803597E-2</v>
      </c>
      <c r="F40" s="2">
        <v>2.8576453882625419E-2</v>
      </c>
      <c r="H40" s="2">
        <v>5.04</v>
      </c>
      <c r="I40" s="15">
        <v>5.76</v>
      </c>
      <c r="K40" s="15">
        <v>5.78</v>
      </c>
      <c r="L40" s="2">
        <v>5.7</v>
      </c>
      <c r="N40" s="2">
        <v>3.5598013905917498</v>
      </c>
      <c r="O40" s="2">
        <v>2.7282400526500949E-2</v>
      </c>
      <c r="P40">
        <v>0.24384699193012241</v>
      </c>
      <c r="Q40">
        <v>0.24444525990323779</v>
      </c>
      <c r="T40" s="15">
        <v>5.56</v>
      </c>
      <c r="AK40" s="2">
        <v>2.7017099382347531E-2</v>
      </c>
    </row>
    <row r="41" spans="1:37" x14ac:dyDescent="0.35">
      <c r="A41" s="4">
        <f t="shared" si="2"/>
        <v>1968</v>
      </c>
      <c r="B41" s="2">
        <v>0.18135431061975124</v>
      </c>
      <c r="C41" s="2">
        <v>0.17263739768257683</v>
      </c>
      <c r="D41" s="2">
        <f t="shared" si="0"/>
        <v>8.7169129371744147E-3</v>
      </c>
      <c r="E41" s="2">
        <v>4.7996412989217418E-2</v>
      </c>
      <c r="F41" s="2">
        <v>4.1695476741135273E-2</v>
      </c>
      <c r="H41" s="2">
        <v>6.25</v>
      </c>
      <c r="I41" s="15">
        <v>6.46</v>
      </c>
      <c r="K41" s="15">
        <v>6.33</v>
      </c>
      <c r="L41" s="2">
        <v>6.16</v>
      </c>
      <c r="N41" s="2">
        <v>3.6130133974002043</v>
      </c>
      <c r="O41" s="2">
        <v>5.0853502372845763E-2</v>
      </c>
      <c r="P41">
        <v>0.2303302872532334</v>
      </c>
      <c r="Q41">
        <v>0.23215709943639146</v>
      </c>
      <c r="T41" s="15">
        <v>5.98</v>
      </c>
      <c r="AK41" s="2">
        <v>3.7304693770507047E-2</v>
      </c>
    </row>
    <row r="42" spans="1:37" x14ac:dyDescent="0.35">
      <c r="A42" s="4">
        <f t="shared" si="2"/>
        <v>1969</v>
      </c>
      <c r="B42" s="2">
        <v>0.18848270440251574</v>
      </c>
      <c r="C42" s="2">
        <v>0.16902515723270442</v>
      </c>
      <c r="D42" s="2">
        <f t="shared" si="0"/>
        <v>1.9457547169811323E-2</v>
      </c>
      <c r="E42" s="2">
        <v>3.0647563392786292E-2</v>
      </c>
      <c r="F42" s="2">
        <v>4.793035021516534E-2</v>
      </c>
      <c r="H42" s="2">
        <v>8.01</v>
      </c>
      <c r="I42" s="15">
        <v>8.32</v>
      </c>
      <c r="K42" s="15">
        <v>8.2200000000000006</v>
      </c>
      <c r="L42" s="2">
        <v>7.88</v>
      </c>
      <c r="N42" s="2">
        <v>3.4278541150692345</v>
      </c>
      <c r="O42" s="2">
        <v>4.0429007644107881E-2</v>
      </c>
      <c r="P42">
        <v>0.20745725310086699</v>
      </c>
      <c r="Q42">
        <v>0.20949139638320008</v>
      </c>
      <c r="T42" s="15">
        <v>6.94</v>
      </c>
      <c r="AK42" s="2">
        <v>2.7129613129640795E-2</v>
      </c>
    </row>
    <row r="43" spans="1:37" x14ac:dyDescent="0.35">
      <c r="A43" s="4">
        <f t="shared" si="2"/>
        <v>1970</v>
      </c>
      <c r="B43" s="2">
        <v>0.17245877201155316</v>
      </c>
      <c r="C43" s="2">
        <v>0.17646510761203765</v>
      </c>
      <c r="D43" s="2">
        <f t="shared" si="0"/>
        <v>-4.0063356004844952E-3</v>
      </c>
      <c r="E43" s="2">
        <v>1.9054746733697669E-3</v>
      </c>
      <c r="F43" s="2">
        <v>5.1385626228251269E-2</v>
      </c>
      <c r="H43" s="2">
        <v>4.8499999999999996</v>
      </c>
      <c r="I43" s="15">
        <v>4.9400000000000004</v>
      </c>
      <c r="K43" s="15">
        <v>5.98</v>
      </c>
      <c r="L43" s="2">
        <v>6.5</v>
      </c>
      <c r="N43" s="2">
        <v>3.4336550510264892</v>
      </c>
      <c r="O43" s="2">
        <v>-4.1293275940937769E-2</v>
      </c>
      <c r="P43">
        <v>0.22061044645918154</v>
      </c>
      <c r="Q43">
        <v>0.22146733619492051</v>
      </c>
      <c r="T43" s="15">
        <v>6.45</v>
      </c>
      <c r="AK43" s="2">
        <v>0.13281463521705428</v>
      </c>
    </row>
    <row r="44" spans="1:37" x14ac:dyDescent="0.35">
      <c r="A44" s="4">
        <f t="shared" si="2"/>
        <v>1971</v>
      </c>
      <c r="B44" s="2">
        <v>0.16370503905914668</v>
      </c>
      <c r="C44" s="2">
        <v>0.17984376341316849</v>
      </c>
      <c r="D44" s="2">
        <f t="shared" si="0"/>
        <v>-1.6138724354021805E-2</v>
      </c>
      <c r="E44" s="2">
        <v>3.240826030775068E-2</v>
      </c>
      <c r="F44" s="2">
        <v>4.9488971610502031E-2</v>
      </c>
      <c r="H44" s="2">
        <v>3.68</v>
      </c>
      <c r="I44" s="15">
        <v>4.46</v>
      </c>
      <c r="K44" s="15">
        <v>5.5</v>
      </c>
      <c r="L44" s="2">
        <v>5.89</v>
      </c>
      <c r="N44" s="2">
        <v>3.562884256223358</v>
      </c>
      <c r="O44" s="2">
        <v>-8.6457189164463842E-3</v>
      </c>
      <c r="P44">
        <v>0.21800741088999409</v>
      </c>
      <c r="Q44">
        <v>0.21824614585227889</v>
      </c>
      <c r="T44" s="15">
        <v>5.99</v>
      </c>
      <c r="AK44" s="2">
        <v>7.3620395679709238E-2</v>
      </c>
    </row>
    <row r="45" spans="1:37" x14ac:dyDescent="0.35">
      <c r="A45" s="4">
        <f t="shared" si="2"/>
        <v>1972</v>
      </c>
      <c r="B45" s="2">
        <v>0.17121413493862875</v>
      </c>
      <c r="C45" s="2">
        <v>0.1827065905714956</v>
      </c>
      <c r="D45" s="2">
        <f t="shared" si="0"/>
        <v>-1.1492455632866855E-2</v>
      </c>
      <c r="E45" s="2">
        <v>5.1198022222578299E-2</v>
      </c>
      <c r="F45" s="2">
        <v>4.2323436977037776E-2</v>
      </c>
      <c r="H45" s="2">
        <v>5.14</v>
      </c>
      <c r="I45" s="15">
        <v>5.68</v>
      </c>
      <c r="K45" s="15">
        <v>6.26</v>
      </c>
      <c r="L45" s="2">
        <v>6.41</v>
      </c>
      <c r="N45" s="2">
        <v>3.6775100603246966</v>
      </c>
      <c r="O45" s="2">
        <v>1.8886521649435484E-2</v>
      </c>
      <c r="P45">
        <v>0.19740360518775305</v>
      </c>
      <c r="Q45">
        <v>0.19883027212082288</v>
      </c>
      <c r="T45" s="15">
        <v>6.03</v>
      </c>
      <c r="AK45" s="2">
        <v>4.0730921792579755E-2</v>
      </c>
    </row>
    <row r="46" spans="1:37" x14ac:dyDescent="0.35">
      <c r="A46" s="4">
        <f t="shared" si="2"/>
        <v>1973</v>
      </c>
      <c r="B46" s="2">
        <v>0.1748281184228988</v>
      </c>
      <c r="C46" s="2">
        <v>0.1737757822365652</v>
      </c>
      <c r="D46" s="2">
        <f t="shared" si="0"/>
        <v>1.0523361863336023E-3</v>
      </c>
      <c r="E46" s="2">
        <v>5.4993545653927889E-2</v>
      </c>
      <c r="F46" s="2">
        <v>5.3302224808495335E-2</v>
      </c>
      <c r="H46" s="2">
        <v>7.46</v>
      </c>
      <c r="I46" s="15">
        <v>7.3</v>
      </c>
      <c r="K46" s="15">
        <v>6.83</v>
      </c>
      <c r="L46" s="2">
        <v>6.9</v>
      </c>
      <c r="N46" s="2">
        <v>3.4108569408496039</v>
      </c>
      <c r="O46" s="2">
        <v>2.9703688078381751E-2</v>
      </c>
      <c r="P46">
        <v>0.17596923652887955</v>
      </c>
      <c r="Q46">
        <v>0.17737078395166528</v>
      </c>
      <c r="T46" s="15">
        <v>7.38</v>
      </c>
      <c r="AK46" s="2">
        <v>3.8150137580035048E-2</v>
      </c>
    </row>
    <row r="47" spans="1:37" x14ac:dyDescent="0.35">
      <c r="A47" s="4">
        <f t="shared" si="2"/>
        <v>1974</v>
      </c>
      <c r="B47" s="2">
        <v>0.18023556821123479</v>
      </c>
      <c r="C47" s="2">
        <v>0.17822935542324619</v>
      </c>
      <c r="D47" s="2">
        <f t="shared" si="0"/>
        <v>2.0062127879885983E-3</v>
      </c>
      <c r="E47" s="2">
        <v>-5.2185364192416372E-3</v>
      </c>
      <c r="F47" s="2">
        <v>8.5919412143596663E-2</v>
      </c>
      <c r="H47" s="2">
        <v>7.06</v>
      </c>
      <c r="I47" s="15">
        <v>7.35</v>
      </c>
      <c r="K47" s="15">
        <v>7.36</v>
      </c>
      <c r="L47" s="2">
        <v>7.4</v>
      </c>
      <c r="N47" s="2">
        <v>2.9575697317252927</v>
      </c>
      <c r="O47" s="2">
        <v>8.2938590754795385E-2</v>
      </c>
      <c r="P47">
        <v>0.1682922796199568</v>
      </c>
      <c r="Q47">
        <v>0.17184690866742641</v>
      </c>
      <c r="T47" s="15">
        <v>7.93</v>
      </c>
      <c r="AK47" s="2">
        <v>7.3440500519754925E-2</v>
      </c>
    </row>
    <row r="48" spans="1:37" x14ac:dyDescent="0.35">
      <c r="A48" s="4">
        <f t="shared" si="2"/>
        <v>1975</v>
      </c>
      <c r="B48" s="2">
        <v>0.16428274675054899</v>
      </c>
      <c r="C48" s="2">
        <v>0.1938393969968544</v>
      </c>
      <c r="D48" s="2">
        <f t="shared" si="0"/>
        <v>-2.955665024630541E-2</v>
      </c>
      <c r="E48" s="2">
        <v>-2.2675415676971511E-3</v>
      </c>
      <c r="F48" s="2">
        <v>8.8820404619911475E-2</v>
      </c>
      <c r="H48" s="2">
        <v>5.2</v>
      </c>
      <c r="I48" s="15">
        <v>6.16</v>
      </c>
      <c r="K48" s="15">
        <v>7.5</v>
      </c>
      <c r="L48" s="2">
        <v>7.76</v>
      </c>
      <c r="N48" s="2">
        <v>3.2110291217009439</v>
      </c>
      <c r="O48" s="2">
        <v>2.2753959845259127E-2</v>
      </c>
      <c r="P48">
        <v>0.19989653676802702</v>
      </c>
      <c r="Q48">
        <v>0.2031268638212689</v>
      </c>
      <c r="T48" s="15">
        <v>8.0399999999999991</v>
      </c>
      <c r="AK48" s="2">
        <v>8.7682533036734123E-2</v>
      </c>
    </row>
    <row r="49" spans="1:37" x14ac:dyDescent="0.35">
      <c r="A49" s="4">
        <f t="shared" si="2"/>
        <v>1976</v>
      </c>
      <c r="B49" s="2">
        <v>0.17220027757019324</v>
      </c>
      <c r="C49" s="2">
        <v>0.18671933383153624</v>
      </c>
      <c r="D49" s="2">
        <f t="shared" si="0"/>
        <v>-1.4519056261343005E-2</v>
      </c>
      <c r="E49" s="2">
        <v>5.2459836227224166E-2</v>
      </c>
      <c r="F49" s="2">
        <v>5.3588910703465942E-2</v>
      </c>
      <c r="H49" s="2">
        <v>4.34</v>
      </c>
      <c r="I49" s="15">
        <v>4.8600000000000003</v>
      </c>
      <c r="J49" s="2">
        <v>5.7108197000000001</v>
      </c>
      <c r="K49" s="15">
        <v>6.13</v>
      </c>
      <c r="L49" s="2">
        <v>6.81</v>
      </c>
      <c r="N49" s="2">
        <v>3.2988251621348659</v>
      </c>
      <c r="O49" s="2">
        <v>0.1131574835964537</v>
      </c>
      <c r="P49">
        <v>0.2201653373292432</v>
      </c>
      <c r="Q49">
        <v>0.22019190097534322</v>
      </c>
      <c r="T49" s="15">
        <v>7.17</v>
      </c>
      <c r="AK49" s="2">
        <v>0.117992300457743</v>
      </c>
    </row>
    <row r="50" spans="1:37" x14ac:dyDescent="0.35">
      <c r="A50" s="4">
        <f t="shared" si="2"/>
        <v>1977</v>
      </c>
      <c r="B50" s="2">
        <v>0.17480065328081465</v>
      </c>
      <c r="C50" s="2">
        <v>0.18147756748967239</v>
      </c>
      <c r="D50" s="2">
        <f t="shared" si="0"/>
        <v>-6.6769142088577427E-3</v>
      </c>
      <c r="E50" s="2">
        <v>4.520667176868276E-2</v>
      </c>
      <c r="F50" s="2">
        <v>6.0271270537655575E-2</v>
      </c>
      <c r="H50" s="2">
        <v>6.13</v>
      </c>
      <c r="I50" s="15">
        <v>6.98</v>
      </c>
      <c r="J50" s="15">
        <v>7.22</v>
      </c>
      <c r="K50" s="15">
        <v>7.54</v>
      </c>
      <c r="L50" s="2">
        <v>7.78</v>
      </c>
      <c r="M50" s="14">
        <v>8.0299999999999994</v>
      </c>
      <c r="N50" s="2">
        <v>3.0826515114422857</v>
      </c>
      <c r="O50" s="2">
        <v>0.14328360794049913</v>
      </c>
      <c r="P50">
        <v>0.20907366568839331</v>
      </c>
      <c r="Q50">
        <v>0.2090945408532392</v>
      </c>
      <c r="T50" s="15">
        <v>7.98</v>
      </c>
      <c r="AK50" s="2">
        <v>4.1973942627280492E-2</v>
      </c>
    </row>
    <row r="51" spans="1:37" x14ac:dyDescent="0.35">
      <c r="A51" s="4">
        <f t="shared" si="2"/>
        <v>1978</v>
      </c>
      <c r="B51" s="2">
        <v>0.18021772410273856</v>
      </c>
      <c r="C51" s="2">
        <v>0.17613539717639054</v>
      </c>
      <c r="D51" s="2">
        <f t="shared" si="0"/>
        <v>4.0823269263480233E-3</v>
      </c>
      <c r="E51" s="2">
        <v>5.3887922818426581E-2</v>
      </c>
      <c r="F51" s="2">
        <v>6.7975120628304353E-2</v>
      </c>
      <c r="H51" s="2">
        <v>9.26</v>
      </c>
      <c r="I51" s="15">
        <v>10.57</v>
      </c>
      <c r="J51" s="15">
        <v>9.98</v>
      </c>
      <c r="K51" s="15">
        <v>9.32</v>
      </c>
      <c r="L51" s="2">
        <v>9.15</v>
      </c>
      <c r="M51" s="14">
        <v>8.9600000000000009</v>
      </c>
      <c r="N51" s="2">
        <v>3.0064409798145966</v>
      </c>
      <c r="O51" s="2">
        <v>0.1108319358047451</v>
      </c>
      <c r="P51">
        <v>0.18773812637882029</v>
      </c>
      <c r="Q51">
        <v>0.18774175782291036</v>
      </c>
      <c r="T51" s="15">
        <v>8.99</v>
      </c>
      <c r="AK51" s="2">
        <v>4.9480502636309653E-2</v>
      </c>
    </row>
    <row r="52" spans="1:37" x14ac:dyDescent="0.35">
      <c r="A52" s="4">
        <f t="shared" si="2"/>
        <v>1979</v>
      </c>
      <c r="B52" s="2">
        <v>0.18536139763255052</v>
      </c>
      <c r="C52" s="2">
        <v>0.17207779850036159</v>
      </c>
      <c r="D52" s="2">
        <f t="shared" si="0"/>
        <v>1.3283599132188934E-2</v>
      </c>
      <c r="E52" s="2">
        <v>3.1211610026768533E-2</v>
      </c>
      <c r="F52" s="2">
        <v>7.964914531624423E-2</v>
      </c>
      <c r="H52" s="2">
        <v>12.04</v>
      </c>
      <c r="I52" s="15">
        <v>11.7</v>
      </c>
      <c r="J52" s="15">
        <v>11.23</v>
      </c>
      <c r="K52" s="15">
        <v>10.38</v>
      </c>
      <c r="L52" s="2">
        <v>10.33</v>
      </c>
      <c r="M52" s="14">
        <v>10.11</v>
      </c>
      <c r="N52" s="2">
        <v>3.0510441652014619</v>
      </c>
      <c r="O52" s="2">
        <v>0.1260818262292302</v>
      </c>
      <c r="P52">
        <v>0.18203385249340073</v>
      </c>
      <c r="Q52">
        <v>0.1841438819163525</v>
      </c>
      <c r="T52" s="15">
        <v>10.16</v>
      </c>
      <c r="AK52" s="2">
        <v>7.0910655008781687E-2</v>
      </c>
    </row>
    <row r="53" spans="1:37" x14ac:dyDescent="0.35">
      <c r="A53" s="4">
        <f t="shared" si="2"/>
        <v>1980</v>
      </c>
      <c r="B53" s="2">
        <v>0.18678472684002381</v>
      </c>
      <c r="C53" s="2">
        <v>0.18419486928218948</v>
      </c>
      <c r="D53" s="2">
        <f t="shared" si="0"/>
        <v>2.5898575578343352E-3</v>
      </c>
      <c r="E53" s="2">
        <v>-2.8091313061215928E-3</v>
      </c>
      <c r="F53" s="2">
        <v>8.6729551403379457E-2</v>
      </c>
      <c r="H53" s="2">
        <v>14.3</v>
      </c>
      <c r="I53" s="15">
        <v>13.86</v>
      </c>
      <c r="J53" s="15">
        <v>13.06</v>
      </c>
      <c r="K53" s="15">
        <v>12.59</v>
      </c>
      <c r="L53" s="2">
        <v>12.43</v>
      </c>
      <c r="M53" s="14">
        <v>11.98</v>
      </c>
      <c r="N53" s="2">
        <v>3.1884906962541506</v>
      </c>
      <c r="O53" s="2">
        <v>0.10418185610848324</v>
      </c>
      <c r="P53">
        <v>0.19025872430381477</v>
      </c>
      <c r="Q53">
        <v>0.19416754249864265</v>
      </c>
      <c r="T53" s="15">
        <v>12.09</v>
      </c>
      <c r="AK53" s="2">
        <v>8.1717787580129819E-2</v>
      </c>
    </row>
    <row r="54" spans="1:37" x14ac:dyDescent="0.35">
      <c r="A54" s="4">
        <f t="shared" si="2"/>
        <v>1981</v>
      </c>
      <c r="B54" s="2">
        <v>0.19367009666354851</v>
      </c>
      <c r="C54" s="2">
        <v>0.18412846897411914</v>
      </c>
      <c r="D54" s="2">
        <f t="shared" si="0"/>
        <v>9.5416276894293717E-3</v>
      </c>
      <c r="E54" s="2">
        <v>2.5241595522801141E-2</v>
      </c>
      <c r="F54" s="2">
        <v>9.0217202201984037E-2</v>
      </c>
      <c r="H54" s="2">
        <v>11.08</v>
      </c>
      <c r="I54" s="15">
        <v>13.35</v>
      </c>
      <c r="J54" s="15">
        <v>13.63</v>
      </c>
      <c r="K54" s="15">
        <v>13.97</v>
      </c>
      <c r="L54" s="2">
        <v>13.98</v>
      </c>
      <c r="M54" s="14">
        <v>13.65</v>
      </c>
      <c r="N54" s="2">
        <v>3.0236241493788785</v>
      </c>
      <c r="O54" s="2">
        <v>7.9167873306041331E-2</v>
      </c>
      <c r="P54">
        <v>0.20530672944476203</v>
      </c>
      <c r="Q54">
        <v>0.20530513352729715</v>
      </c>
      <c r="T54" s="15">
        <v>14.04</v>
      </c>
      <c r="AK54" s="2">
        <v>0.16020365277448212</v>
      </c>
    </row>
    <row r="55" spans="1:37" x14ac:dyDescent="0.35">
      <c r="A55" s="4">
        <f t="shared" si="2"/>
        <v>1982</v>
      </c>
      <c r="B55" s="2">
        <v>0.18502900891201626</v>
      </c>
      <c r="C55" s="2">
        <v>0.194868114121658</v>
      </c>
      <c r="D55" s="2">
        <f t="shared" si="0"/>
        <v>-9.8391052096417353E-3</v>
      </c>
      <c r="E55" s="2">
        <v>-1.8221479519782591E-2</v>
      </c>
      <c r="F55" s="2">
        <v>5.999344363017256E-2</v>
      </c>
      <c r="H55" s="2">
        <v>8.1999999999999993</v>
      </c>
      <c r="I55" s="15">
        <v>8.68</v>
      </c>
      <c r="J55" s="15">
        <v>9.48</v>
      </c>
      <c r="K55" s="15">
        <v>10.09</v>
      </c>
      <c r="L55" s="2">
        <v>10.36</v>
      </c>
      <c r="M55" s="14">
        <v>10.43</v>
      </c>
      <c r="N55" s="2">
        <v>3.1088032977454376</v>
      </c>
      <c r="O55" s="2">
        <v>4.8868406199759018E-2</v>
      </c>
      <c r="P55">
        <v>0.26251901683202689</v>
      </c>
      <c r="Q55">
        <v>0.2625211226540714</v>
      </c>
      <c r="T55" s="15">
        <v>10.62</v>
      </c>
      <c r="AK55" s="2">
        <v>0.2274724258356231</v>
      </c>
    </row>
    <row r="56" spans="1:37" x14ac:dyDescent="0.35">
      <c r="A56" s="4">
        <f t="shared" si="2"/>
        <v>1983</v>
      </c>
      <c r="B56" s="2">
        <v>0.17743533296642816</v>
      </c>
      <c r="C56" s="2">
        <v>0.19408365437534397</v>
      </c>
      <c r="D56" s="2">
        <f t="shared" si="0"/>
        <v>-1.6648321408915812E-2</v>
      </c>
      <c r="E56" s="2">
        <v>4.4886241515155412E-2</v>
      </c>
      <c r="F56" s="2">
        <v>3.8339843637415605E-2</v>
      </c>
      <c r="H56" s="2">
        <v>9.33</v>
      </c>
      <c r="I56" s="15">
        <v>10.08</v>
      </c>
      <c r="J56" s="15">
        <v>10.85</v>
      </c>
      <c r="K56" s="15">
        <v>11.57</v>
      </c>
      <c r="L56" s="2">
        <v>11.82</v>
      </c>
      <c r="M56" s="14">
        <v>11.87</v>
      </c>
      <c r="N56" s="2">
        <v>3.2438525822083499</v>
      </c>
      <c r="O56" s="2">
        <v>3.0110590093885066E-2</v>
      </c>
      <c r="P56">
        <v>0.27233268904685365</v>
      </c>
      <c r="Q56">
        <v>0.27217679645857151</v>
      </c>
      <c r="T56" s="15">
        <v>11.98</v>
      </c>
      <c r="AK56" s="2">
        <v>9.2178952809457204E-2</v>
      </c>
    </row>
    <row r="57" spans="1:37" x14ac:dyDescent="0.35">
      <c r="A57" s="4">
        <f t="shared" si="2"/>
        <v>1984</v>
      </c>
      <c r="B57" s="2">
        <v>0.17614424410540916</v>
      </c>
      <c r="C57" s="2">
        <v>0.1824598771547454</v>
      </c>
      <c r="D57" s="2">
        <f t="shared" si="0"/>
        <v>-6.3156330493362445E-3</v>
      </c>
      <c r="E57" s="2">
        <v>6.9848088525503726E-2</v>
      </c>
      <c r="F57" s="2">
        <v>3.5468397544432761E-2</v>
      </c>
      <c r="H57" s="2">
        <v>8.1199999999999992</v>
      </c>
      <c r="I57" s="15">
        <v>9.2200000000000006</v>
      </c>
      <c r="J57" s="15">
        <v>10.02</v>
      </c>
      <c r="K57" s="15">
        <v>11.08</v>
      </c>
      <c r="L57" s="2">
        <v>11.55</v>
      </c>
      <c r="M57" s="14">
        <v>11.54</v>
      </c>
      <c r="N57" s="2">
        <v>3.1886769274337756</v>
      </c>
      <c r="O57" s="2">
        <v>4.467470775785596E-2</v>
      </c>
      <c r="P57">
        <v>0.29690618161423848</v>
      </c>
      <c r="Q57">
        <v>0.30031875141335129</v>
      </c>
      <c r="T57" s="15">
        <v>11.7</v>
      </c>
      <c r="AK57" s="2">
        <v>0.13394744380161461</v>
      </c>
    </row>
    <row r="58" spans="1:37" x14ac:dyDescent="0.35">
      <c r="A58" s="4">
        <f t="shared" si="2"/>
        <v>1985</v>
      </c>
      <c r="B58" s="2">
        <v>0.17877391103941001</v>
      </c>
      <c r="C58" s="2">
        <v>0.18135515095644159</v>
      </c>
      <c r="D58" s="2">
        <f t="shared" si="0"/>
        <v>-2.5812399170315747E-3</v>
      </c>
      <c r="E58" s="2">
        <v>4.0834336936023341E-2</v>
      </c>
      <c r="F58" s="2">
        <v>3.1159113836275232E-2</v>
      </c>
      <c r="H58" s="2">
        <v>7.28</v>
      </c>
      <c r="I58" s="15">
        <v>7.6</v>
      </c>
      <c r="J58" s="15">
        <v>7.98</v>
      </c>
      <c r="K58" s="15">
        <v>8.49</v>
      </c>
      <c r="L58" s="2">
        <v>9</v>
      </c>
      <c r="M58" s="14">
        <v>9.27</v>
      </c>
      <c r="N58" s="2">
        <v>3.3591418942331495</v>
      </c>
      <c r="O58" s="2">
        <v>6.5191453224709109E-2</v>
      </c>
      <c r="P58">
        <v>0.33217418527620429</v>
      </c>
      <c r="Q58">
        <v>0.33943559742701213</v>
      </c>
      <c r="T58" s="15">
        <v>9.5</v>
      </c>
      <c r="AK58" s="2">
        <v>0.17240595586400831</v>
      </c>
    </row>
    <row r="59" spans="1:37" x14ac:dyDescent="0.35">
      <c r="A59" s="4">
        <f t="shared" si="2"/>
        <v>1986</v>
      </c>
      <c r="B59" s="2">
        <v>0.17859638396366492</v>
      </c>
      <c r="C59" s="2">
        <v>0.18307275744606513</v>
      </c>
      <c r="D59" s="2">
        <f t="shared" si="0"/>
        <v>-4.4763734824002088E-3</v>
      </c>
      <c r="E59" s="2">
        <v>3.3907353217580649E-2</v>
      </c>
      <c r="F59" s="2">
        <v>2.0060398033725502E-2</v>
      </c>
      <c r="H59" s="2">
        <v>5.83</v>
      </c>
      <c r="I59" s="15">
        <v>5.95</v>
      </c>
      <c r="J59" s="15">
        <v>6.35</v>
      </c>
      <c r="K59" s="15">
        <v>6.81</v>
      </c>
      <c r="L59" s="2">
        <v>7.23</v>
      </c>
      <c r="M59" s="14">
        <v>7.49</v>
      </c>
      <c r="N59" s="2">
        <v>3.3930143840142288</v>
      </c>
      <c r="O59" s="2">
        <v>7.8765191110281602E-2</v>
      </c>
      <c r="P59">
        <v>0.36656432819990464</v>
      </c>
      <c r="Q59">
        <v>0.37411829989355949</v>
      </c>
      <c r="T59" s="15">
        <v>7.39</v>
      </c>
      <c r="AK59" s="2">
        <v>0.13475012973765366</v>
      </c>
    </row>
    <row r="60" spans="1:37" x14ac:dyDescent="0.35">
      <c r="A60" s="4">
        <f t="shared" si="2"/>
        <v>1987</v>
      </c>
      <c r="B60" s="2">
        <v>0.18526528258362168</v>
      </c>
      <c r="C60" s="2">
        <v>0.17671774592189818</v>
      </c>
      <c r="D60" s="2">
        <f t="shared" si="0"/>
        <v>8.5475366617235038E-3</v>
      </c>
      <c r="E60" s="2">
        <v>3.4183617707165936E-2</v>
      </c>
      <c r="F60" s="2">
        <v>2.4255019764821917E-2</v>
      </c>
      <c r="H60" s="2">
        <v>5.86</v>
      </c>
      <c r="I60" s="15">
        <v>7.1</v>
      </c>
      <c r="J60" s="15">
        <v>7.77</v>
      </c>
      <c r="K60" s="15">
        <v>8.33</v>
      </c>
      <c r="L60" s="2">
        <v>8.83</v>
      </c>
      <c r="M60" s="14">
        <v>8.9499999999999993</v>
      </c>
      <c r="N60" s="2">
        <v>3.2999129729348922</v>
      </c>
      <c r="O60" s="2">
        <v>8.0616663635622934E-2</v>
      </c>
      <c r="P60">
        <v>0.34895681608524676</v>
      </c>
      <c r="Q60">
        <v>0.35261200956212413</v>
      </c>
      <c r="T60" s="15">
        <v>8.89</v>
      </c>
      <c r="AK60" s="2">
        <v>5.1225427746292462E-2</v>
      </c>
    </row>
    <row r="61" spans="1:37" x14ac:dyDescent="0.35">
      <c r="A61" s="4">
        <f t="shared" si="2"/>
        <v>1988</v>
      </c>
      <c r="B61" s="2">
        <v>0.1837903903445115</v>
      </c>
      <c r="C61" s="2">
        <v>0.17223665113436715</v>
      </c>
      <c r="D61" s="2">
        <f t="shared" si="0"/>
        <v>1.1553739210144354E-2</v>
      </c>
      <c r="E61" s="2">
        <v>4.086290247266966E-2</v>
      </c>
      <c r="F61" s="2">
        <v>3.4721041311629008E-2</v>
      </c>
      <c r="H61" s="2">
        <v>8.3699999999999992</v>
      </c>
      <c r="I61" s="15">
        <v>9.02</v>
      </c>
      <c r="J61" s="15">
        <v>9.14</v>
      </c>
      <c r="K61" s="15">
        <v>9.14</v>
      </c>
      <c r="L61" s="2">
        <v>9.14</v>
      </c>
      <c r="M61" s="14">
        <v>9</v>
      </c>
      <c r="N61" s="2">
        <v>3.2531265328020367</v>
      </c>
      <c r="O61" s="2">
        <v>0.17194640858370186</v>
      </c>
      <c r="P61">
        <v>0.33574299019600723</v>
      </c>
      <c r="Q61">
        <v>0.33896344408531776</v>
      </c>
      <c r="T61" s="15">
        <v>9.07</v>
      </c>
      <c r="AK61" s="2">
        <v>7.4468872143890197E-2</v>
      </c>
    </row>
    <row r="62" spans="1:37" x14ac:dyDescent="0.35">
      <c r="A62" s="4">
        <f t="shared" si="2"/>
        <v>1989</v>
      </c>
      <c r="B62" s="2">
        <v>0.18478800340328982</v>
      </c>
      <c r="C62" s="2">
        <v>0.16980998298355074</v>
      </c>
      <c r="D62" s="2">
        <f t="shared" si="0"/>
        <v>1.4978020419739085E-2</v>
      </c>
      <c r="E62" s="2">
        <v>3.609053128125872E-2</v>
      </c>
      <c r="F62" s="2">
        <v>3.8442942616349285E-2</v>
      </c>
      <c r="H62" s="2">
        <v>7.8</v>
      </c>
      <c r="I62" s="15">
        <v>7.76</v>
      </c>
      <c r="J62" s="15">
        <v>7.87</v>
      </c>
      <c r="K62" s="15">
        <v>7.86</v>
      </c>
      <c r="L62" s="2">
        <v>7.93</v>
      </c>
      <c r="M62" s="14">
        <v>7.98</v>
      </c>
      <c r="N62" s="2">
        <v>3.41972702062623</v>
      </c>
      <c r="O62" s="2">
        <v>4.8926766908235116E-2</v>
      </c>
      <c r="P62">
        <v>0.34784351324780316</v>
      </c>
      <c r="Q62">
        <v>0.35110618553019474</v>
      </c>
      <c r="T62" s="15">
        <v>7.96</v>
      </c>
      <c r="AK62" s="2">
        <v>0.13152903262092153</v>
      </c>
    </row>
    <row r="63" spans="1:37" x14ac:dyDescent="0.35">
      <c r="A63" s="4">
        <f t="shared" si="2"/>
        <v>1990</v>
      </c>
      <c r="B63" s="2">
        <v>0.18238835505022552</v>
      </c>
      <c r="C63" s="2">
        <v>0.17252771209605744</v>
      </c>
      <c r="D63" s="2">
        <f t="shared" si="0"/>
        <v>9.8606429541680807E-3</v>
      </c>
      <c r="E63" s="2">
        <v>1.8528843657062311E-2</v>
      </c>
      <c r="F63" s="2">
        <v>3.6893923204049273E-2</v>
      </c>
      <c r="H63" s="2">
        <v>6.63</v>
      </c>
      <c r="I63" s="15">
        <v>6.82</v>
      </c>
      <c r="J63" s="15">
        <v>7.15</v>
      </c>
      <c r="K63" s="15">
        <v>7.68</v>
      </c>
      <c r="L63" s="2">
        <v>8.08</v>
      </c>
      <c r="M63" s="14">
        <v>8.26</v>
      </c>
      <c r="N63" s="2">
        <v>3.306604157497071</v>
      </c>
      <c r="O63" s="2">
        <v>1.4689288220624829E-2</v>
      </c>
      <c r="P63">
        <v>0.37461573623920519</v>
      </c>
      <c r="Q63">
        <v>0.37744843309490361</v>
      </c>
      <c r="T63" s="15">
        <v>8.17</v>
      </c>
      <c r="AK63" s="2">
        <v>9.4355689938665277E-2</v>
      </c>
    </row>
    <row r="64" spans="1:37" x14ac:dyDescent="0.35">
      <c r="A64" s="4">
        <f t="shared" si="2"/>
        <v>1991</v>
      </c>
      <c r="B64" s="2">
        <v>0.17989314886084992</v>
      </c>
      <c r="C64" s="2">
        <v>0.17505399392669818</v>
      </c>
      <c r="D64" s="2">
        <f t="shared" si="0"/>
        <v>4.8391549341517404E-3</v>
      </c>
      <c r="E64" s="2">
        <v>-9.1307688398156728E-4</v>
      </c>
      <c r="F64" s="2">
        <v>3.3090885210560472E-2</v>
      </c>
      <c r="H64" s="2">
        <v>3.96</v>
      </c>
      <c r="I64" s="15">
        <v>4.12</v>
      </c>
      <c r="J64" s="15">
        <v>4.7699999999999996</v>
      </c>
      <c r="K64" s="15">
        <v>5.93</v>
      </c>
      <c r="L64" s="2">
        <v>6.71</v>
      </c>
      <c r="M64" s="14">
        <v>7.41</v>
      </c>
      <c r="N64" s="2">
        <v>3.5867689443893567</v>
      </c>
      <c r="O64" s="2">
        <v>-2.1068415178463598E-2</v>
      </c>
      <c r="P64">
        <v>0.41586002226567775</v>
      </c>
      <c r="Q64">
        <v>0.4221776089151813</v>
      </c>
      <c r="T64" s="15">
        <v>7.06</v>
      </c>
      <c r="AK64" s="2">
        <v>0.12244562962676442</v>
      </c>
    </row>
    <row r="65" spans="1:37" x14ac:dyDescent="0.35">
      <c r="A65" s="4">
        <f t="shared" si="2"/>
        <v>1992</v>
      </c>
      <c r="B65" s="2">
        <v>0.17704706838642395</v>
      </c>
      <c r="C65" s="2">
        <v>0.1846847537689984</v>
      </c>
      <c r="D65" s="2">
        <f t="shared" si="0"/>
        <v>-7.6376853825744495E-3</v>
      </c>
      <c r="E65" s="2">
        <v>3.4589043187618351E-2</v>
      </c>
      <c r="F65" s="2">
        <v>2.2563055553245448E-2</v>
      </c>
      <c r="H65" s="2">
        <v>3.15</v>
      </c>
      <c r="I65" s="15">
        <v>3.61</v>
      </c>
      <c r="J65" s="15">
        <v>4.5599999999999996</v>
      </c>
      <c r="K65" s="15">
        <v>6.04</v>
      </c>
      <c r="L65" s="2">
        <v>6.7</v>
      </c>
      <c r="M65" s="14">
        <v>7.4</v>
      </c>
      <c r="N65" s="2">
        <v>3.6501600969847874</v>
      </c>
      <c r="O65" s="2">
        <v>-3.9380940824058717E-3</v>
      </c>
      <c r="P65">
        <v>0.43302643039635019</v>
      </c>
      <c r="Q65">
        <v>0.43571992184716413</v>
      </c>
      <c r="T65" s="15">
        <v>7.05</v>
      </c>
      <c r="AK65" s="2">
        <v>7.726202680518135E-2</v>
      </c>
    </row>
    <row r="66" spans="1:37" x14ac:dyDescent="0.35">
      <c r="A66" s="4">
        <f t="shared" si="2"/>
        <v>1993</v>
      </c>
      <c r="B66" s="2">
        <v>0.17948269326101535</v>
      </c>
      <c r="C66" s="2">
        <v>0.18314233225439591</v>
      </c>
      <c r="D66" s="2">
        <f t="shared" si="0"/>
        <v>-3.6596389933805651E-3</v>
      </c>
      <c r="E66" s="2">
        <v>2.713749252306652E-2</v>
      </c>
      <c r="F66" s="2">
        <v>2.3445459604615415E-2</v>
      </c>
      <c r="H66" s="2">
        <v>3.07</v>
      </c>
      <c r="I66" s="15">
        <v>3.63</v>
      </c>
      <c r="J66" s="15">
        <v>4.25</v>
      </c>
      <c r="K66" s="15">
        <v>5.21</v>
      </c>
      <c r="L66" s="2">
        <v>5.83</v>
      </c>
      <c r="M66" s="14">
        <v>6.35</v>
      </c>
      <c r="N66" s="2">
        <v>3.7112472060500097</v>
      </c>
      <c r="O66" s="2">
        <v>2.3465314059545578E-2</v>
      </c>
      <c r="P66">
        <v>0.45393614924540415</v>
      </c>
      <c r="Q66">
        <v>0.45667811088416188</v>
      </c>
      <c r="T66" s="15">
        <v>6.48</v>
      </c>
      <c r="AK66" s="2">
        <v>8.6075231515936546E-2</v>
      </c>
    </row>
    <row r="67" spans="1:37" x14ac:dyDescent="0.35">
      <c r="A67" s="4">
        <f t="shared" si="2"/>
        <v>1994</v>
      </c>
      <c r="B67" s="2">
        <v>0.18241574267208255</v>
      </c>
      <c r="C67" s="2">
        <v>0.17624053134262818</v>
      </c>
      <c r="D67" s="2">
        <f t="shared" ref="D67:D93" si="3">B67-C67</f>
        <v>6.1752113294543665E-3</v>
      </c>
      <c r="E67" s="2">
        <v>3.9525733516754258E-2</v>
      </c>
      <c r="F67" s="2">
        <v>2.1090311654058169E-2</v>
      </c>
      <c r="H67" s="2">
        <v>5.68</v>
      </c>
      <c r="I67" s="15">
        <v>7.2</v>
      </c>
      <c r="J67" s="15">
        <v>7.69</v>
      </c>
      <c r="K67" s="15">
        <v>7.83</v>
      </c>
      <c r="L67" s="2">
        <v>7.84</v>
      </c>
      <c r="M67" s="14">
        <v>7.89</v>
      </c>
      <c r="N67" s="2">
        <v>3.6479010045982387</v>
      </c>
      <c r="O67" s="2">
        <v>3.0553398430316934E-2</v>
      </c>
      <c r="P67">
        <v>0.41511571455932683</v>
      </c>
      <c r="Q67">
        <v>0.41730618616408655</v>
      </c>
      <c r="T67" s="15">
        <v>8.02</v>
      </c>
      <c r="AK67" s="2">
        <v>-5.067605141622189E-3</v>
      </c>
    </row>
    <row r="68" spans="1:37" x14ac:dyDescent="0.35">
      <c r="A68" s="4">
        <f t="shared" ref="A68:A91" si="4">A67+1</f>
        <v>1995</v>
      </c>
      <c r="B68" s="2">
        <v>0.18553084545204657</v>
      </c>
      <c r="C68" s="2">
        <v>0.17384190478683717</v>
      </c>
      <c r="D68" s="2">
        <f t="shared" si="3"/>
        <v>1.1688940665209396E-2</v>
      </c>
      <c r="E68" s="2">
        <v>2.6458945905894815E-2</v>
      </c>
      <c r="F68" s="2">
        <v>2.0780005037393856E-2</v>
      </c>
      <c r="H68" s="2">
        <v>5.0999999999999996</v>
      </c>
      <c r="I68" s="15">
        <v>5.18</v>
      </c>
      <c r="J68" s="15">
        <v>5.18</v>
      </c>
      <c r="K68" s="15">
        <v>5.38</v>
      </c>
      <c r="L68" s="2">
        <v>5.58</v>
      </c>
      <c r="M68" s="14">
        <v>5.96</v>
      </c>
      <c r="N68" s="2">
        <v>3.8600625889032867</v>
      </c>
      <c r="O68" s="2">
        <v>6.9930908655028282E-2</v>
      </c>
      <c r="P68">
        <v>0.45056708385707145</v>
      </c>
      <c r="Q68">
        <v>0.4531009848193317</v>
      </c>
      <c r="T68" s="15">
        <v>6.01</v>
      </c>
      <c r="AK68" s="2">
        <v>0.14334739486677761</v>
      </c>
    </row>
    <row r="69" spans="1:37" x14ac:dyDescent="0.35">
      <c r="A69" s="4">
        <f t="shared" si="4"/>
        <v>1996</v>
      </c>
      <c r="B69" s="2">
        <v>0.19029864612106873</v>
      </c>
      <c r="C69" s="2">
        <v>0.17072747767276511</v>
      </c>
      <c r="D69" s="2">
        <f t="shared" si="3"/>
        <v>1.9571168448303616E-2</v>
      </c>
      <c r="E69" s="2">
        <v>3.7062249449925311E-2</v>
      </c>
      <c r="F69" s="2">
        <v>1.8116962463391673E-2</v>
      </c>
      <c r="H69" s="2">
        <v>5.21</v>
      </c>
      <c r="I69" s="15">
        <v>5.51</v>
      </c>
      <c r="J69" s="15">
        <v>5.88</v>
      </c>
      <c r="K69" s="15">
        <v>6.21</v>
      </c>
      <c r="L69" s="2">
        <v>6.43</v>
      </c>
      <c r="M69" s="14">
        <v>6.65</v>
      </c>
      <c r="N69" s="2">
        <v>3.9883431847306361</v>
      </c>
      <c r="O69" s="2">
        <v>4.4004572785843875E-2</v>
      </c>
      <c r="P69">
        <v>0.43090200062761708</v>
      </c>
      <c r="Q69">
        <v>0.4330645656301621</v>
      </c>
      <c r="T69" s="15">
        <v>6.73</v>
      </c>
      <c r="AK69" s="2">
        <v>4.031067590747428E-2</v>
      </c>
    </row>
    <row r="70" spans="1:37" x14ac:dyDescent="0.35">
      <c r="A70" s="4">
        <f t="shared" si="4"/>
        <v>1997</v>
      </c>
      <c r="B70" s="2">
        <v>0.19439003917179631</v>
      </c>
      <c r="C70" s="2">
        <v>0.16494124230554003</v>
      </c>
      <c r="D70" s="2">
        <f t="shared" si="3"/>
        <v>2.9448796866256288E-2</v>
      </c>
      <c r="E70" s="2">
        <v>4.3440133363823463E-2</v>
      </c>
      <c r="F70" s="2">
        <v>1.717647342224371E-2</v>
      </c>
      <c r="H70" s="2">
        <v>5.36</v>
      </c>
      <c r="I70" s="15">
        <v>5.51</v>
      </c>
      <c r="J70" s="15">
        <v>5.66</v>
      </c>
      <c r="K70" s="15">
        <v>5.71</v>
      </c>
      <c r="L70" s="2">
        <v>5.75</v>
      </c>
      <c r="M70" s="14">
        <v>5.93</v>
      </c>
      <c r="N70" s="2">
        <v>4.1924665750686216</v>
      </c>
      <c r="O70" s="2">
        <v>4.4469924554786364E-2</v>
      </c>
      <c r="P70">
        <v>0.41239291143198425</v>
      </c>
      <c r="Q70">
        <v>0.4145361856010622</v>
      </c>
      <c r="T70" s="15">
        <v>6.02</v>
      </c>
      <c r="AK70" s="2">
        <v>8.3237951766813811E-2</v>
      </c>
    </row>
    <row r="71" spans="1:37" x14ac:dyDescent="0.35">
      <c r="A71" s="4">
        <f t="shared" si="4"/>
        <v>1998</v>
      </c>
      <c r="B71" s="2">
        <v>0.19748863485898399</v>
      </c>
      <c r="C71" s="2">
        <v>0.15891336010945847</v>
      </c>
      <c r="D71" s="2">
        <f t="shared" si="3"/>
        <v>3.8575274749525518E-2</v>
      </c>
      <c r="E71" s="2">
        <v>4.406261126132005E-2</v>
      </c>
      <c r="F71" s="2">
        <v>1.0961357728705323E-2</v>
      </c>
      <c r="H71" s="2">
        <v>4.4800000000000004</v>
      </c>
      <c r="I71" s="15">
        <v>4.53</v>
      </c>
      <c r="J71" s="15">
        <v>4.54</v>
      </c>
      <c r="K71" s="15">
        <v>4.5599999999999996</v>
      </c>
      <c r="L71" s="2">
        <v>4.6500000000000004</v>
      </c>
      <c r="M71" s="14">
        <v>5.09</v>
      </c>
      <c r="N71" s="2">
        <v>4.3388740617797925</v>
      </c>
      <c r="O71" s="2">
        <v>4.0171520903479717E-2</v>
      </c>
      <c r="P71">
        <v>0.38645796462517185</v>
      </c>
      <c r="Q71">
        <v>0.3885719269777505</v>
      </c>
      <c r="T71" s="15">
        <v>5.39</v>
      </c>
      <c r="AK71" s="2">
        <v>8.353260727603784E-2</v>
      </c>
    </row>
    <row r="72" spans="1:37" x14ac:dyDescent="0.35">
      <c r="A72" s="4">
        <f t="shared" si="4"/>
        <v>1999</v>
      </c>
      <c r="B72" s="2">
        <v>0.19789849655286981</v>
      </c>
      <c r="C72" s="2">
        <v>0.155858044688097</v>
      </c>
      <c r="D72" s="2">
        <f t="shared" si="3"/>
        <v>4.2040451864772815E-2</v>
      </c>
      <c r="E72" s="2">
        <v>4.6927665712255262E-2</v>
      </c>
      <c r="F72" s="2">
        <v>1.3902039845262948E-2</v>
      </c>
      <c r="H72" s="2">
        <v>5.33</v>
      </c>
      <c r="I72" s="15">
        <v>5.98</v>
      </c>
      <c r="J72" s="15">
        <v>6.24</v>
      </c>
      <c r="K72" s="15">
        <v>6.36</v>
      </c>
      <c r="L72" s="2">
        <v>6.45</v>
      </c>
      <c r="M72" s="14">
        <v>6.48</v>
      </c>
      <c r="N72" s="2">
        <v>4.4774301969019827</v>
      </c>
      <c r="O72" s="2">
        <v>7.4132791909995555E-2</v>
      </c>
      <c r="P72">
        <v>0.33434965083602081</v>
      </c>
      <c r="Q72">
        <v>0.33604348146515162</v>
      </c>
      <c r="T72" s="15">
        <v>6.83</v>
      </c>
      <c r="AK72" s="2">
        <v>2.7485210363891177E-3</v>
      </c>
    </row>
    <row r="73" spans="1:37" x14ac:dyDescent="0.35">
      <c r="A73" s="4">
        <f t="shared" si="4"/>
        <v>2000</v>
      </c>
      <c r="B73" s="2">
        <v>0.20171690566773975</v>
      </c>
      <c r="C73" s="2">
        <v>0.15346795434591745</v>
      </c>
      <c r="D73" s="2">
        <f t="shared" si="3"/>
        <v>4.8248951321822303E-2</v>
      </c>
      <c r="E73" s="2">
        <v>3.9759397766248483E-2</v>
      </c>
      <c r="F73" s="2">
        <v>2.260803539633649E-2</v>
      </c>
      <c r="H73" s="2">
        <v>5.89</v>
      </c>
      <c r="I73" s="15">
        <v>5.32</v>
      </c>
      <c r="J73" s="15">
        <v>5.1100000000000003</v>
      </c>
      <c r="K73" s="15">
        <v>4.99</v>
      </c>
      <c r="L73" s="2">
        <v>5.12</v>
      </c>
      <c r="M73" s="14">
        <v>5.46</v>
      </c>
      <c r="N73" s="2">
        <v>4.4092782912727575</v>
      </c>
      <c r="O73" s="2">
        <v>-6.1657964326322916E-2</v>
      </c>
      <c r="P73">
        <v>0.29892074008485348</v>
      </c>
      <c r="Q73">
        <v>0.30068961260038846</v>
      </c>
      <c r="T73" s="15">
        <v>5.59</v>
      </c>
      <c r="AK73" s="2">
        <v>0.10182857788715616</v>
      </c>
    </row>
    <row r="74" spans="1:37" x14ac:dyDescent="0.35">
      <c r="A74" s="4">
        <f t="shared" si="4"/>
        <v>2001</v>
      </c>
      <c r="B74" s="2">
        <v>0.19206380706678386</v>
      </c>
      <c r="C74" s="2">
        <v>0.16106748315519898</v>
      </c>
      <c r="D74" s="2">
        <f t="shared" si="3"/>
        <v>3.0996323911584883E-2</v>
      </c>
      <c r="E74" s="2">
        <v>8.984738820677407E-3</v>
      </c>
      <c r="F74" s="2">
        <v>2.2784993805896825E-2</v>
      </c>
      <c r="H74" s="2">
        <v>1.74</v>
      </c>
      <c r="I74" s="15">
        <v>2.17</v>
      </c>
      <c r="J74" s="15">
        <v>3.07</v>
      </c>
      <c r="K74" s="15">
        <v>4.38</v>
      </c>
      <c r="L74" s="2">
        <v>5.07</v>
      </c>
      <c r="M74" s="14">
        <v>5.48</v>
      </c>
      <c r="N74" s="2">
        <v>4.2980081038322524</v>
      </c>
      <c r="O74" s="2">
        <v>-2.1664922065284274E-2</v>
      </c>
      <c r="P74">
        <v>0.29478694024560681</v>
      </c>
      <c r="Q74">
        <v>0.29648594268981604</v>
      </c>
      <c r="T74" s="15">
        <v>5.74</v>
      </c>
      <c r="AK74" s="2">
        <v>6.0664067022855317E-2</v>
      </c>
    </row>
    <row r="75" spans="1:37" x14ac:dyDescent="0.35">
      <c r="A75" s="4">
        <f t="shared" si="4"/>
        <v>2002</v>
      </c>
      <c r="B75" s="2">
        <v>0.17118518450741599</v>
      </c>
      <c r="C75" s="2">
        <v>0.16953820534170241</v>
      </c>
      <c r="D75" s="2">
        <f t="shared" si="3"/>
        <v>1.6469791657135746E-3</v>
      </c>
      <c r="E75" s="2">
        <v>1.7373254235672597E-2</v>
      </c>
      <c r="F75" s="2">
        <v>1.4910707957139557E-2</v>
      </c>
      <c r="H75" s="2">
        <v>1.22</v>
      </c>
      <c r="I75" s="15">
        <v>1.32</v>
      </c>
      <c r="J75" s="15">
        <v>1.61</v>
      </c>
      <c r="K75" s="15">
        <v>2.78</v>
      </c>
      <c r="L75" s="2">
        <v>3.83</v>
      </c>
      <c r="M75" s="14">
        <v>5.03</v>
      </c>
      <c r="N75" s="2">
        <v>4.0317025836898868</v>
      </c>
      <c r="O75" s="2">
        <v>1.6800243413614618E-2</v>
      </c>
      <c r="P75">
        <v>0.31530729800405377</v>
      </c>
      <c r="Q75">
        <v>0.31532188235582231</v>
      </c>
      <c r="T75" s="15">
        <v>4.83</v>
      </c>
      <c r="AK75" s="2">
        <v>8.111532245623887E-2</v>
      </c>
    </row>
    <row r="76" spans="1:37" x14ac:dyDescent="0.35">
      <c r="A76" s="4">
        <f t="shared" si="4"/>
        <v>2003</v>
      </c>
      <c r="B76" s="2">
        <v>0.16550429886963733</v>
      </c>
      <c r="C76" s="2">
        <v>0.17622310478767511</v>
      </c>
      <c r="D76" s="2">
        <f t="shared" si="3"/>
        <v>-1.0718805918037783E-2</v>
      </c>
      <c r="E76" s="2">
        <v>2.7304613925662302E-2</v>
      </c>
      <c r="F76" s="2">
        <v>1.9823683970946249E-2</v>
      </c>
      <c r="H76" s="2">
        <v>0.95</v>
      </c>
      <c r="I76" s="15">
        <v>1.26</v>
      </c>
      <c r="J76" s="15">
        <v>1.84</v>
      </c>
      <c r="K76" s="15">
        <v>3.25</v>
      </c>
      <c r="L76" s="2">
        <v>4.2699999999999996</v>
      </c>
      <c r="M76" s="14">
        <v>5.23</v>
      </c>
      <c r="N76" s="2">
        <v>4.1780152583061216</v>
      </c>
      <c r="O76" s="2">
        <v>0.12317324326698628</v>
      </c>
      <c r="P76">
        <v>0.32320512671669988</v>
      </c>
      <c r="Q76">
        <v>0.32321909385817987</v>
      </c>
      <c r="T76" s="15">
        <v>5.0999999999999996</v>
      </c>
      <c r="AF76" s="14">
        <v>1.22</v>
      </c>
      <c r="AG76" s="14">
        <v>1.64</v>
      </c>
      <c r="AH76" s="14">
        <v>2</v>
      </c>
      <c r="AK76" s="2">
        <v>2.0786588774796222E-2</v>
      </c>
    </row>
    <row r="77" spans="1:37" x14ac:dyDescent="0.35">
      <c r="A77" s="4">
        <f t="shared" si="4"/>
        <v>2004</v>
      </c>
      <c r="B77" s="2">
        <v>0.16600366696133317</v>
      </c>
      <c r="C77" s="2">
        <v>0.1745571816782896</v>
      </c>
      <c r="D77" s="2">
        <f t="shared" si="3"/>
        <v>-8.553514716956423E-3</v>
      </c>
      <c r="E77" s="2">
        <v>3.7930156789968805E-2</v>
      </c>
      <c r="F77" s="2">
        <v>2.6357383611784968E-2</v>
      </c>
      <c r="H77" s="2">
        <v>2.2200000000000002</v>
      </c>
      <c r="I77" s="15">
        <v>2.75</v>
      </c>
      <c r="J77" s="15">
        <v>3.08</v>
      </c>
      <c r="K77" s="15">
        <v>3.63</v>
      </c>
      <c r="L77" s="2">
        <v>4.24</v>
      </c>
      <c r="M77" s="14">
        <v>4.8600000000000003</v>
      </c>
      <c r="N77" s="2">
        <v>4.1243302850308492</v>
      </c>
      <c r="O77" s="2">
        <v>0.15783190214125395</v>
      </c>
      <c r="P77">
        <v>0.3309226608705762</v>
      </c>
      <c r="Q77">
        <v>0.33236161175406281</v>
      </c>
      <c r="T77" s="15">
        <v>4.8499999999999996</v>
      </c>
      <c r="AF77" s="14">
        <v>0.99</v>
      </c>
      <c r="AG77" s="14">
        <v>1.28</v>
      </c>
      <c r="AH77" s="14">
        <v>1.68</v>
      </c>
      <c r="AK77" s="2">
        <v>2.7718073227887663E-2</v>
      </c>
    </row>
    <row r="78" spans="1:37" x14ac:dyDescent="0.35">
      <c r="A78" s="4">
        <f t="shared" si="4"/>
        <v>2005</v>
      </c>
      <c r="B78" s="2">
        <v>0.17675164120498188</v>
      </c>
      <c r="C78" s="2">
        <v>0.17421314191054665</v>
      </c>
      <c r="D78" s="2">
        <f t="shared" si="3"/>
        <v>2.5384992944352258E-3</v>
      </c>
      <c r="E78" s="2">
        <v>3.4381612090673919E-2</v>
      </c>
      <c r="F78" s="2">
        <v>3.073379791359887E-2</v>
      </c>
      <c r="H78" s="2">
        <v>4.08</v>
      </c>
      <c r="I78" s="15">
        <v>4.38</v>
      </c>
      <c r="J78" s="15">
        <v>4.41</v>
      </c>
      <c r="K78" s="15">
        <v>4.3499999999999996</v>
      </c>
      <c r="L78" s="2">
        <v>4.3899999999999997</v>
      </c>
      <c r="M78" s="14">
        <v>4.51</v>
      </c>
      <c r="N78" s="2">
        <v>3.9631186616485468</v>
      </c>
      <c r="O78" s="2">
        <v>0.21503547683037741</v>
      </c>
      <c r="P78">
        <v>0.32088284563278807</v>
      </c>
      <c r="Q78">
        <v>0.32477328293933777</v>
      </c>
      <c r="T78" s="15">
        <v>4.6100000000000003</v>
      </c>
      <c r="AF78" s="14">
        <v>2.0499999999999998</v>
      </c>
      <c r="AG78" s="14">
        <v>2.1</v>
      </c>
      <c r="AH78" s="14">
        <v>2.06</v>
      </c>
      <c r="AI78" s="14">
        <v>2.04</v>
      </c>
      <c r="AK78" s="2">
        <v>2.5758780124670588E-2</v>
      </c>
    </row>
    <row r="79" spans="1:37" x14ac:dyDescent="0.35">
      <c r="A79" s="4">
        <f t="shared" si="4"/>
        <v>2006</v>
      </c>
      <c r="B79" s="2">
        <v>0.18376328208691625</v>
      </c>
      <c r="C79" s="2">
        <v>0.17426677089666753</v>
      </c>
      <c r="D79" s="2">
        <f t="shared" si="3"/>
        <v>9.4965111902487187E-3</v>
      </c>
      <c r="E79" s="2">
        <v>2.720022876650674E-2</v>
      </c>
      <c r="F79" s="2">
        <v>3.0637954795689204E-2</v>
      </c>
      <c r="H79" s="2">
        <v>5.0199999999999996</v>
      </c>
      <c r="I79" s="15">
        <v>5</v>
      </c>
      <c r="J79" s="15">
        <v>4.82</v>
      </c>
      <c r="K79" s="15">
        <v>4.7</v>
      </c>
      <c r="L79" s="2">
        <v>4.71</v>
      </c>
      <c r="M79" s="14">
        <v>4.8099999999999996</v>
      </c>
      <c r="N79" s="2">
        <v>4.0412805686411382</v>
      </c>
      <c r="O79" s="2">
        <v>5.4033397283519628E-2</v>
      </c>
      <c r="P79">
        <v>0.31271844267116805</v>
      </c>
      <c r="Q79">
        <v>0.3162035574454935</v>
      </c>
      <c r="T79" s="15">
        <v>4.91</v>
      </c>
      <c r="AF79" s="14">
        <v>2.44</v>
      </c>
      <c r="AG79" s="14">
        <v>2.2799999999999998</v>
      </c>
      <c r="AH79" s="14">
        <v>2.41</v>
      </c>
      <c r="AI79" s="14">
        <v>2.4</v>
      </c>
      <c r="AK79" s="2">
        <v>3.3259124903838089E-2</v>
      </c>
    </row>
    <row r="80" spans="1:37" x14ac:dyDescent="0.35">
      <c r="A80" s="4">
        <f t="shared" si="4"/>
        <v>2007</v>
      </c>
      <c r="B80" s="2">
        <v>0.18434870320984925</v>
      </c>
      <c r="C80" s="2">
        <v>0.17566428541819235</v>
      </c>
      <c r="D80" s="2">
        <f t="shared" si="3"/>
        <v>8.6844177916569065E-3</v>
      </c>
      <c r="E80" s="2">
        <v>1.9870489525589896E-2</v>
      </c>
      <c r="F80" s="2">
        <v>2.669887621773448E-2</v>
      </c>
      <c r="H80" s="2">
        <v>3.36</v>
      </c>
      <c r="I80" s="15">
        <v>3.34</v>
      </c>
      <c r="J80" s="15">
        <v>3.05</v>
      </c>
      <c r="K80" s="15">
        <v>3.45</v>
      </c>
      <c r="L80" s="2">
        <v>4.04</v>
      </c>
      <c r="M80" s="14">
        <v>4.45</v>
      </c>
      <c r="N80" s="2">
        <v>3.9617569375268356</v>
      </c>
      <c r="O80" s="2">
        <v>0.13192046449419564</v>
      </c>
      <c r="P80">
        <v>0.32379762876340351</v>
      </c>
      <c r="Q80">
        <v>0.32500366290312416</v>
      </c>
      <c r="T80" s="15">
        <v>4.5</v>
      </c>
      <c r="AF80" s="14">
        <v>1.18</v>
      </c>
      <c r="AG80" s="14">
        <v>1.62</v>
      </c>
      <c r="AH80" s="14">
        <v>1.73</v>
      </c>
      <c r="AI80" s="14">
        <v>2</v>
      </c>
      <c r="AK80" s="2">
        <v>7.6295426396988608E-2</v>
      </c>
    </row>
    <row r="81" spans="1:38" x14ac:dyDescent="0.35">
      <c r="A81" s="4">
        <f t="shared" si="4"/>
        <v>2008</v>
      </c>
      <c r="B81" s="2">
        <v>0.17482176588873316</v>
      </c>
      <c r="C81" s="2">
        <v>0.19226941279223286</v>
      </c>
      <c r="D81" s="2">
        <f t="shared" si="3"/>
        <v>-1.7447646903499703E-2</v>
      </c>
      <c r="E81" s="2">
        <v>1.5756109570004284E-3</v>
      </c>
      <c r="F81" s="2">
        <v>1.8647960853857448E-2</v>
      </c>
      <c r="H81" s="2">
        <v>0.11</v>
      </c>
      <c r="I81" s="15">
        <v>0.37</v>
      </c>
      <c r="J81" s="15">
        <v>0.76</v>
      </c>
      <c r="K81" s="15">
        <v>1.55</v>
      </c>
      <c r="L81" s="2">
        <v>2.25</v>
      </c>
      <c r="M81" s="14">
        <v>2.69</v>
      </c>
      <c r="N81" s="2">
        <v>3.4600758508923728</v>
      </c>
      <c r="O81" s="2">
        <v>-4.2012121287794222E-3</v>
      </c>
      <c r="P81">
        <v>0.42941126288883447</v>
      </c>
      <c r="Q81">
        <v>0.43080343938177112</v>
      </c>
      <c r="T81" s="15">
        <v>3.05</v>
      </c>
      <c r="AF81" s="14">
        <v>1.81</v>
      </c>
      <c r="AG81" s="14">
        <v>1.96</v>
      </c>
      <c r="AH81" s="14">
        <v>2.14</v>
      </c>
      <c r="AI81" s="14">
        <v>2.36</v>
      </c>
      <c r="AK81" s="2">
        <v>8.593075887541568E-2</v>
      </c>
    </row>
    <row r="82" spans="1:38" x14ac:dyDescent="0.35">
      <c r="A82" s="4">
        <f t="shared" si="4"/>
        <v>2009</v>
      </c>
      <c r="B82" s="2">
        <v>0.15486148044287579</v>
      </c>
      <c r="C82" s="2">
        <v>0.21806038085107851</v>
      </c>
      <c r="D82" s="2">
        <f t="shared" si="3"/>
        <v>-6.3198900408202724E-2</v>
      </c>
      <c r="E82" s="2">
        <v>-2.6521741778963381E-2</v>
      </c>
      <c r="F82" s="2">
        <v>6.5675786177523676E-3</v>
      </c>
      <c r="H82" s="2">
        <v>0.06</v>
      </c>
      <c r="I82" s="15">
        <v>0.47</v>
      </c>
      <c r="J82" s="15">
        <v>1.1399999999999999</v>
      </c>
      <c r="K82" s="15">
        <v>2.69</v>
      </c>
      <c r="L82" s="2">
        <v>3.85</v>
      </c>
      <c r="M82" s="14">
        <v>4.63</v>
      </c>
      <c r="N82" s="2">
        <v>3.8919356476155831</v>
      </c>
      <c r="O82" s="2">
        <v>-0.18651228095207281</v>
      </c>
      <c r="P82">
        <v>0.51209017384164845</v>
      </c>
      <c r="Q82">
        <v>0.5130510330723097</v>
      </c>
      <c r="T82" s="15">
        <v>4.58</v>
      </c>
      <c r="AF82" s="14">
        <v>0.56000000000000005</v>
      </c>
      <c r="AG82" s="14">
        <v>0.86</v>
      </c>
      <c r="AH82" s="14">
        <v>1.48</v>
      </c>
      <c r="AI82" s="14">
        <v>2.0299999999999998</v>
      </c>
      <c r="AK82" s="2">
        <v>-1.0717442198578286E-2</v>
      </c>
    </row>
    <row r="83" spans="1:38" x14ac:dyDescent="0.35">
      <c r="A83" s="4">
        <f t="shared" si="4"/>
        <v>2010</v>
      </c>
      <c r="B83" s="2">
        <v>0.1625556515383082</v>
      </c>
      <c r="C83" s="2">
        <v>0.22691208718187256</v>
      </c>
      <c r="D83" s="2">
        <f t="shared" si="3"/>
        <v>-6.4356435643564358E-2</v>
      </c>
      <c r="E83" s="2">
        <v>2.6696185269812212E-2</v>
      </c>
      <c r="F83" s="2">
        <v>1.1978195656316082E-2</v>
      </c>
      <c r="H83" s="2">
        <v>0.12</v>
      </c>
      <c r="I83" s="15">
        <v>0.28999999999999998</v>
      </c>
      <c r="J83" s="15">
        <v>0.61</v>
      </c>
      <c r="K83" s="15">
        <v>2.0099999999999998</v>
      </c>
      <c r="L83" s="2">
        <v>3.38</v>
      </c>
      <c r="M83" s="14">
        <v>4.34</v>
      </c>
      <c r="N83" s="2">
        <v>3.9680184753685457</v>
      </c>
      <c r="O83" s="2">
        <v>6.7047759731780454E-2</v>
      </c>
      <c r="P83">
        <v>0.60462764000397429</v>
      </c>
      <c r="Q83">
        <v>0.60542255231034592</v>
      </c>
      <c r="T83" s="15">
        <v>4.13</v>
      </c>
      <c r="AF83" s="14">
        <v>0.18</v>
      </c>
      <c r="AG83" s="14">
        <v>0.65</v>
      </c>
      <c r="AH83" s="14">
        <v>1</v>
      </c>
      <c r="AI83" s="14">
        <v>1.59</v>
      </c>
      <c r="AJ83" s="14">
        <v>1.86</v>
      </c>
      <c r="AK83" s="2">
        <v>4.4451593572850223E-2</v>
      </c>
    </row>
    <row r="84" spans="1:38" x14ac:dyDescent="0.35">
      <c r="A84" s="4">
        <f t="shared" si="4"/>
        <v>2011</v>
      </c>
      <c r="B84" s="2">
        <v>0.16497753161919779</v>
      </c>
      <c r="C84" s="2">
        <v>0.2185618954210658</v>
      </c>
      <c r="D84" s="2">
        <f t="shared" si="3"/>
        <v>-5.3584363801868012E-2</v>
      </c>
      <c r="E84" s="2">
        <v>1.5426969167858573E-2</v>
      </c>
      <c r="F84" s="2">
        <v>2.051317032890676E-2</v>
      </c>
      <c r="H84" s="2">
        <v>0.02</v>
      </c>
      <c r="I84" s="15">
        <v>0.12</v>
      </c>
      <c r="J84" s="15">
        <v>0.25</v>
      </c>
      <c r="K84" s="15">
        <v>0.83</v>
      </c>
      <c r="L84" s="2">
        <v>1.89</v>
      </c>
      <c r="M84" s="14">
        <v>2.89</v>
      </c>
      <c r="N84" s="2">
        <v>3.839305830260114</v>
      </c>
      <c r="O84" s="2">
        <v>9.7623107093338365E-2</v>
      </c>
      <c r="P84">
        <v>0.67948140761811593</v>
      </c>
      <c r="Q84">
        <v>0.68431923129728434</v>
      </c>
      <c r="T84" s="15">
        <v>2.57</v>
      </c>
      <c r="AF84" s="14">
        <v>-0.76</v>
      </c>
      <c r="AG84" s="14">
        <v>-0.44</v>
      </c>
      <c r="AH84" s="14">
        <v>-7.0000000000000007E-2</v>
      </c>
      <c r="AI84" s="14">
        <v>0.53</v>
      </c>
      <c r="AJ84" s="14">
        <v>0.78</v>
      </c>
      <c r="AK84" s="2">
        <v>7.7267867918999755E-2</v>
      </c>
    </row>
    <row r="85" spans="1:38" x14ac:dyDescent="0.35">
      <c r="A85" s="4">
        <f t="shared" si="4"/>
        <v>2012</v>
      </c>
      <c r="B85" s="2">
        <v>0.16616217546450104</v>
      </c>
      <c r="C85" s="2">
        <v>0.20749969238341331</v>
      </c>
      <c r="D85" s="2">
        <f t="shared" si="3"/>
        <v>-4.133751691891227E-2</v>
      </c>
      <c r="E85" s="2">
        <v>2.2485400630004371E-2</v>
      </c>
      <c r="F85" s="2">
        <v>1.8601948399662227E-2</v>
      </c>
      <c r="H85" s="2">
        <v>0.05</v>
      </c>
      <c r="I85" s="15">
        <v>0.16</v>
      </c>
      <c r="J85" s="15">
        <v>0.25</v>
      </c>
      <c r="K85" s="15">
        <v>0.72</v>
      </c>
      <c r="L85" s="2">
        <v>1.78</v>
      </c>
      <c r="M85" s="14">
        <v>2.95</v>
      </c>
      <c r="N85" s="2">
        <v>3.8248671680465587</v>
      </c>
      <c r="O85" s="2">
        <v>0.13735997803794847</v>
      </c>
      <c r="P85">
        <v>0.7280732987562043</v>
      </c>
      <c r="Q85">
        <v>0.72864770597504247</v>
      </c>
      <c r="T85" s="15">
        <v>2.54</v>
      </c>
      <c r="AF85" s="14">
        <v>-1.37</v>
      </c>
      <c r="AG85" s="14">
        <v>-1.1299999999999999</v>
      </c>
      <c r="AH85" s="14">
        <v>-0.67</v>
      </c>
      <c r="AI85" s="14">
        <v>0.15</v>
      </c>
      <c r="AJ85" s="14">
        <v>0.41</v>
      </c>
      <c r="AK85" s="2">
        <v>2.0139864669625585E-2</v>
      </c>
    </row>
    <row r="86" spans="1:38" x14ac:dyDescent="0.35">
      <c r="A86" s="4">
        <f t="shared" si="4"/>
        <v>2013</v>
      </c>
      <c r="B86" s="2">
        <v>0.18640163389379688</v>
      </c>
      <c r="C86" s="2">
        <v>0.20058539944903583</v>
      </c>
      <c r="D86" s="2">
        <f t="shared" si="3"/>
        <v>-1.4183765555238953E-2</v>
      </c>
      <c r="E86" s="2">
        <v>1.8072629094849191E-2</v>
      </c>
      <c r="F86" s="2">
        <v>1.7535353089059846E-2</v>
      </c>
      <c r="H86" s="2">
        <v>7.0000000000000007E-2</v>
      </c>
      <c r="I86" s="15">
        <v>0.13</v>
      </c>
      <c r="J86" s="15">
        <v>0.38</v>
      </c>
      <c r="K86" s="15">
        <v>1.75</v>
      </c>
      <c r="L86" s="2">
        <v>3.04</v>
      </c>
      <c r="M86" s="14">
        <v>3.96</v>
      </c>
      <c r="N86" s="2">
        <v>3.8560165777462463</v>
      </c>
      <c r="O86" s="2">
        <v>0.21559799376001862</v>
      </c>
      <c r="P86">
        <v>0.70892232341167138</v>
      </c>
      <c r="Q86">
        <v>0.70988410880976371</v>
      </c>
      <c r="T86" s="15">
        <v>3.72</v>
      </c>
      <c r="AF86" s="14">
        <v>0.06</v>
      </c>
      <c r="AG86" s="14">
        <v>0.47</v>
      </c>
      <c r="AH86" s="14">
        <v>0.8</v>
      </c>
      <c r="AI86" s="14">
        <v>1.36</v>
      </c>
      <c r="AJ86" s="14">
        <v>1.64</v>
      </c>
      <c r="AK86" s="2">
        <v>-3.0305670468483537E-2</v>
      </c>
    </row>
    <row r="87" spans="1:38" x14ac:dyDescent="0.35">
      <c r="A87" s="4">
        <f t="shared" si="4"/>
        <v>2014</v>
      </c>
      <c r="B87" s="2">
        <v>0.18762784390366197</v>
      </c>
      <c r="C87" s="2">
        <v>0.19806047622032169</v>
      </c>
      <c r="D87" s="2">
        <f t="shared" si="3"/>
        <v>-1.0432632316659723E-2</v>
      </c>
      <c r="E87" s="2">
        <v>2.2716753297863157E-2</v>
      </c>
      <c r="F87" s="2">
        <v>1.8430067343548018E-2</v>
      </c>
      <c r="H87" s="2">
        <v>0.04</v>
      </c>
      <c r="I87" s="15">
        <v>0.25</v>
      </c>
      <c r="J87" s="15">
        <v>0.67</v>
      </c>
      <c r="K87" s="15">
        <v>1.65</v>
      </c>
      <c r="L87" s="2">
        <v>2.17</v>
      </c>
      <c r="M87" s="14">
        <v>2.75</v>
      </c>
      <c r="N87" s="2">
        <v>3.9096247399514561</v>
      </c>
      <c r="O87" s="2">
        <v>2.5658651340391324E-2</v>
      </c>
      <c r="P87">
        <v>0.72201644183784619</v>
      </c>
      <c r="Q87">
        <v>0.73570294110393364</v>
      </c>
      <c r="T87" s="15">
        <v>2.4700000000000002</v>
      </c>
      <c r="AF87" s="14">
        <v>0.38</v>
      </c>
      <c r="AG87" s="14">
        <v>0.47</v>
      </c>
      <c r="AH87" s="14">
        <v>0.49</v>
      </c>
      <c r="AI87" s="14">
        <v>0.68</v>
      </c>
      <c r="AJ87" s="14">
        <v>0.83</v>
      </c>
      <c r="AK87" s="2">
        <v>4.6453546449082284E-2</v>
      </c>
    </row>
    <row r="88" spans="1:38" x14ac:dyDescent="0.35">
      <c r="A88" s="4">
        <f t="shared" si="4"/>
        <v>2015</v>
      </c>
      <c r="B88" s="2">
        <v>0.18944304075579479</v>
      </c>
      <c r="C88" s="2">
        <v>0.19817093265956276</v>
      </c>
      <c r="D88" s="2">
        <f t="shared" si="3"/>
        <v>-8.7278919037679648E-3</v>
      </c>
      <c r="E88" s="2">
        <v>2.7056871088564804E-2</v>
      </c>
      <c r="F88" s="2">
        <v>9.6005038381985486E-3</v>
      </c>
      <c r="H88" s="2">
        <v>0.16</v>
      </c>
      <c r="I88" s="15">
        <v>0.65</v>
      </c>
      <c r="J88" s="15">
        <v>1.06</v>
      </c>
      <c r="K88" s="15">
        <v>1.76</v>
      </c>
      <c r="L88" s="2">
        <v>2.27</v>
      </c>
      <c r="M88" s="14">
        <v>3.01</v>
      </c>
      <c r="N88" s="2">
        <v>3.8040011460219074</v>
      </c>
      <c r="O88" s="2">
        <v>6.746994279326822E-2</v>
      </c>
      <c r="P88">
        <v>0.72109968595651408</v>
      </c>
      <c r="Q88">
        <v>0.74290395415162225</v>
      </c>
      <c r="T88" s="15">
        <v>2.67</v>
      </c>
      <c r="AF88" s="14">
        <v>0.45</v>
      </c>
      <c r="AG88" s="14">
        <v>0.59</v>
      </c>
      <c r="AH88" s="14">
        <v>0.73</v>
      </c>
      <c r="AI88" s="14">
        <v>1.07</v>
      </c>
      <c r="AJ88" s="14">
        <v>1.28</v>
      </c>
      <c r="AK88" s="2">
        <v>5.1718724391771609E-3</v>
      </c>
    </row>
    <row r="89" spans="1:38" x14ac:dyDescent="0.35">
      <c r="A89" s="4">
        <f t="shared" si="4"/>
        <v>2016</v>
      </c>
      <c r="B89" s="2">
        <v>0.18527849543463262</v>
      </c>
      <c r="C89" s="2">
        <v>0.19827655374937819</v>
      </c>
      <c r="D89" s="2">
        <f t="shared" si="3"/>
        <v>-1.299805831474557E-2</v>
      </c>
      <c r="E89" s="2">
        <v>1.661308292713759E-2</v>
      </c>
      <c r="F89" s="2">
        <v>9.8971644283389892E-3</v>
      </c>
      <c r="H89" s="2">
        <v>0.51</v>
      </c>
      <c r="I89" s="15">
        <v>0.85</v>
      </c>
      <c r="J89" s="15">
        <v>1.2</v>
      </c>
      <c r="K89" s="15">
        <v>1.93</v>
      </c>
      <c r="L89" s="2">
        <v>2.4500000000000002</v>
      </c>
      <c r="M89" s="14">
        <v>3.06</v>
      </c>
      <c r="N89" s="2">
        <v>3.8536374097848189</v>
      </c>
      <c r="O89" s="2">
        <v>4.7327469891247108E-2</v>
      </c>
      <c r="P89">
        <v>0.72288057897030022</v>
      </c>
      <c r="Q89">
        <v>0.74846022802615819</v>
      </c>
      <c r="T89" s="15">
        <v>2.79</v>
      </c>
      <c r="AF89" s="14">
        <v>0.09</v>
      </c>
      <c r="AG89" s="14">
        <v>0.36</v>
      </c>
      <c r="AH89" s="14">
        <v>0.5</v>
      </c>
      <c r="AI89" s="14">
        <v>0.82</v>
      </c>
      <c r="AJ89" s="14">
        <v>0.99</v>
      </c>
      <c r="AK89" s="2">
        <v>1.1335928781773363E-2</v>
      </c>
    </row>
    <row r="90" spans="1:38" x14ac:dyDescent="0.35">
      <c r="A90" s="4">
        <f t="shared" si="4"/>
        <v>2017</v>
      </c>
      <c r="B90" s="2">
        <v>0.18096880839442289</v>
      </c>
      <c r="C90" s="2">
        <v>0.19501940491591202</v>
      </c>
      <c r="D90" s="2">
        <f t="shared" si="3"/>
        <v>-1.4050596521489128E-2</v>
      </c>
      <c r="E90" s="2">
        <v>2.2000101083509804E-2</v>
      </c>
      <c r="F90" s="2">
        <v>1.9106205600578186E-2</v>
      </c>
      <c r="H90" s="2">
        <v>1.39</v>
      </c>
      <c r="I90" s="15">
        <v>1.76</v>
      </c>
      <c r="J90" s="15">
        <v>1.89</v>
      </c>
      <c r="K90" s="15">
        <v>2.2000000000000002</v>
      </c>
      <c r="L90" s="2">
        <v>2.4</v>
      </c>
      <c r="M90" s="14">
        <v>2.74</v>
      </c>
      <c r="N90" s="2">
        <v>3.9576658117773458</v>
      </c>
      <c r="O90" s="2">
        <v>6.3799889531347603E-2</v>
      </c>
      <c r="P90">
        <v>0.71843220197241198</v>
      </c>
      <c r="Q90">
        <v>0.7434460261395861</v>
      </c>
      <c r="T90" s="15">
        <v>2.58</v>
      </c>
      <c r="AF90" s="14">
        <v>0.34</v>
      </c>
      <c r="AG90" s="14">
        <v>0.48</v>
      </c>
      <c r="AH90" s="14">
        <v>0.44</v>
      </c>
      <c r="AI90" s="14">
        <v>0.61</v>
      </c>
      <c r="AJ90" s="14">
        <v>0.73</v>
      </c>
      <c r="AK90" s="2">
        <v>2.0795636730015277E-2</v>
      </c>
    </row>
    <row r="91" spans="1:38" x14ac:dyDescent="0.35">
      <c r="A91" s="4">
        <f t="shared" si="4"/>
        <v>2018</v>
      </c>
      <c r="B91" s="2">
        <v>0.17386686932460343</v>
      </c>
      <c r="C91" s="2">
        <v>0.19445905919950116</v>
      </c>
      <c r="D91" s="2">
        <f t="shared" si="3"/>
        <v>-2.0592189874897721E-2</v>
      </c>
      <c r="E91" s="2">
        <v>2.868293287445578E-2</v>
      </c>
      <c r="F91" s="2">
        <v>2.3700138955427441E-2</v>
      </c>
      <c r="H91" s="2">
        <v>2.4500000000000002</v>
      </c>
      <c r="I91" s="15">
        <v>2.63</v>
      </c>
      <c r="J91" s="15">
        <v>2.48</v>
      </c>
      <c r="K91" s="15">
        <v>2.5099999999999998</v>
      </c>
      <c r="L91" s="2">
        <v>2.69</v>
      </c>
      <c r="M91" s="14">
        <v>3.02</v>
      </c>
      <c r="N91" s="2">
        <v>3.7683190266259703</v>
      </c>
      <c r="O91" s="2">
        <v>0.10435513117435732</v>
      </c>
      <c r="P91">
        <v>0.73169659886500271</v>
      </c>
      <c r="Q91">
        <v>0.75221823118907627</v>
      </c>
      <c r="S91" s="15"/>
      <c r="T91" s="15">
        <v>2.87</v>
      </c>
      <c r="AF91" s="14">
        <v>1</v>
      </c>
      <c r="AG91" s="14">
        <v>1.04</v>
      </c>
      <c r="AH91" s="14">
        <v>0.98</v>
      </c>
      <c r="AI91" s="14">
        <v>1.0900000000000001</v>
      </c>
      <c r="AJ91" s="14">
        <v>1.21</v>
      </c>
      <c r="AK91" s="2">
        <v>8.3433984799909933E-3</v>
      </c>
    </row>
    <row r="92" spans="1:38" x14ac:dyDescent="0.35">
      <c r="A92" s="4">
        <v>2019</v>
      </c>
      <c r="B92" s="2">
        <v>0.17375986075629546</v>
      </c>
      <c r="C92" s="2">
        <v>0.19722916257263975</v>
      </c>
      <c r="D92" s="2">
        <f t="shared" si="3"/>
        <v>-2.3469301816344296E-2</v>
      </c>
      <c r="E92" s="2">
        <v>2.2811665959461713E-2</v>
      </c>
      <c r="F92" s="2">
        <v>1.7547225905112818E-2</v>
      </c>
      <c r="H92" s="2">
        <v>1.55</v>
      </c>
      <c r="I92" s="15">
        <v>1.59</v>
      </c>
      <c r="J92" s="15">
        <v>1.58</v>
      </c>
      <c r="K92" s="15">
        <v>1.69</v>
      </c>
      <c r="L92" s="2">
        <v>1.92</v>
      </c>
      <c r="M92" s="14">
        <v>2.39</v>
      </c>
      <c r="N92" s="2">
        <v>3.9615394034724267</v>
      </c>
      <c r="O92" s="2">
        <v>4.3476590731417464E-2</v>
      </c>
      <c r="P92">
        <v>0.7752440862446025</v>
      </c>
      <c r="Q92">
        <v>0.7995623033314565</v>
      </c>
      <c r="S92" s="15"/>
      <c r="T92" s="15">
        <v>2.25</v>
      </c>
      <c r="AF92" s="14">
        <v>0.01</v>
      </c>
      <c r="AG92" s="14">
        <v>0.09</v>
      </c>
      <c r="AH92" s="14">
        <v>0.15</v>
      </c>
      <c r="AI92" s="14">
        <v>0.39</v>
      </c>
      <c r="AJ92" s="14">
        <v>0.57999999999999996</v>
      </c>
      <c r="AK92" s="2">
        <v>5.8484798864443022E-2</v>
      </c>
    </row>
    <row r="93" spans="1:38" x14ac:dyDescent="0.35">
      <c r="A93" s="4">
        <v>2020</v>
      </c>
      <c r="B93" s="2">
        <v>0.17634502266233362</v>
      </c>
      <c r="C93" s="2">
        <v>0.30075094406447878</v>
      </c>
      <c r="D93" s="2">
        <f t="shared" si="3"/>
        <v>-0.12440592140214515</v>
      </c>
      <c r="E93" s="2">
        <v>-3.5590346424134722E-2</v>
      </c>
      <c r="F93" s="2">
        <v>1.2928296730297717E-2</v>
      </c>
      <c r="H93" s="2">
        <v>0.09</v>
      </c>
      <c r="I93" s="2">
        <v>0.1</v>
      </c>
      <c r="J93" s="15">
        <v>0.13</v>
      </c>
      <c r="K93" s="15">
        <v>0.36</v>
      </c>
      <c r="L93" s="2">
        <v>0.93</v>
      </c>
      <c r="M93" s="14">
        <v>1.65</v>
      </c>
      <c r="N93" s="2">
        <v>4.1627595986995818</v>
      </c>
      <c r="O93" s="2">
        <v>-3.2208175866896414E-2</v>
      </c>
      <c r="P93">
        <v>1.0200174398632535</v>
      </c>
      <c r="Q93">
        <v>1.0492042672238326</v>
      </c>
      <c r="T93" s="15">
        <v>1.45</v>
      </c>
      <c r="AF93" s="14">
        <v>-1.59</v>
      </c>
      <c r="AG93" s="14">
        <v>-1.24</v>
      </c>
      <c r="AH93" s="14">
        <v>-1.06</v>
      </c>
      <c r="AI93" s="14">
        <v>-0.61</v>
      </c>
      <c r="AJ93" s="14">
        <v>-0.37</v>
      </c>
      <c r="AK93" s="2">
        <v>6.5575990584767707E-2</v>
      </c>
    </row>
    <row r="94" spans="1:38" x14ac:dyDescent="0.35">
      <c r="A94" s="4"/>
    </row>
    <row r="95" spans="1:38" x14ac:dyDescent="0.35">
      <c r="A95" s="4"/>
    </row>
    <row r="96" spans="1:38" x14ac:dyDescent="0.35">
      <c r="A96" s="4"/>
      <c r="B96" s="17"/>
      <c r="C96" s="17"/>
      <c r="D96" s="17"/>
      <c r="E96" s="17"/>
      <c r="F96" s="17"/>
      <c r="AK96" s="2">
        <f>AVERAGE(AK20:AK95)</f>
        <v>5.6357227135240197E-2</v>
      </c>
      <c r="AL96" s="2">
        <f>AK96-H96/100</f>
        <v>5.6357227135240197E-2</v>
      </c>
    </row>
    <row r="97" spans="1:6" x14ac:dyDescent="0.35">
      <c r="A97" s="4"/>
      <c r="B97" s="17"/>
      <c r="C97" s="17"/>
      <c r="D97" s="17"/>
      <c r="E97" s="17"/>
      <c r="F97" s="17"/>
    </row>
    <row r="98" spans="1:6" x14ac:dyDescent="0.35">
      <c r="A98" s="4"/>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C009F-6FD2-D240-A8A3-67480CAA9592}">
  <dimension ref="A1:AM98"/>
  <sheetViews>
    <sheetView tabSelected="1" workbookViewId="0">
      <selection activeCell="P1" sqref="P1"/>
    </sheetView>
  </sheetViews>
  <sheetFormatPr defaultColWidth="8.6640625" defaultRowHeight="12.75" x14ac:dyDescent="0.35"/>
  <cols>
    <col min="1" max="1" width="10.6640625" style="5" customWidth="1"/>
    <col min="7" max="7" width="16.6640625" customWidth="1"/>
    <col min="8" max="13" width="10.6640625" customWidth="1"/>
  </cols>
  <sheetData>
    <row r="1" spans="1:39" s="6" customFormat="1" ht="14.25" x14ac:dyDescent="0.45">
      <c r="A1" s="3" t="s">
        <v>0</v>
      </c>
      <c r="B1" s="6" t="s">
        <v>1</v>
      </c>
      <c r="C1" s="6" t="s">
        <v>2</v>
      </c>
      <c r="D1" s="6" t="s">
        <v>3</v>
      </c>
      <c r="E1" s="6" t="s">
        <v>4</v>
      </c>
      <c r="F1" s="6" t="s">
        <v>5</v>
      </c>
      <c r="G1" s="7"/>
      <c r="H1" s="7" t="s">
        <v>6</v>
      </c>
      <c r="I1" s="7" t="s">
        <v>7</v>
      </c>
      <c r="J1" s="7" t="s">
        <v>8</v>
      </c>
      <c r="K1" s="7" t="s">
        <v>9</v>
      </c>
      <c r="L1" s="7" t="s">
        <v>10</v>
      </c>
      <c r="M1" s="7" t="s">
        <v>11</v>
      </c>
      <c r="N1" s="7" t="s">
        <v>12</v>
      </c>
      <c r="O1" s="7" t="s">
        <v>13</v>
      </c>
      <c r="P1" s="7"/>
      <c r="Q1" s="7"/>
      <c r="R1"/>
      <c r="S1" s="7"/>
      <c r="T1" t="s">
        <v>14</v>
      </c>
      <c r="U1" s="7"/>
      <c r="V1" s="12"/>
      <c r="W1" s="12"/>
      <c r="X1" s="2"/>
      <c r="Y1"/>
      <c r="Z1"/>
      <c r="AA1"/>
      <c r="AB1"/>
      <c r="AC1"/>
      <c r="AD1"/>
      <c r="AE1"/>
      <c r="AF1" t="s">
        <v>15</v>
      </c>
      <c r="AG1" t="s">
        <v>16</v>
      </c>
      <c r="AH1" t="s">
        <v>17</v>
      </c>
      <c r="AI1" t="s">
        <v>18</v>
      </c>
      <c r="AJ1" t="s">
        <v>19</v>
      </c>
      <c r="AK1" s="13" t="s">
        <v>23</v>
      </c>
      <c r="AL1" s="13" t="s">
        <v>24</v>
      </c>
      <c r="AM1" s="13" t="s">
        <v>25</v>
      </c>
    </row>
    <row r="2" spans="1:39" x14ac:dyDescent="0.35">
      <c r="A2" s="4">
        <v>1929</v>
      </c>
      <c r="B2">
        <v>3.5372848948374766E-2</v>
      </c>
      <c r="C2">
        <v>2.4856596558317401E-2</v>
      </c>
      <c r="D2">
        <f t="shared" ref="D2:D33" si="0">B2-C2</f>
        <v>1.0516252390057365E-2</v>
      </c>
      <c r="H2">
        <v>3.03</v>
      </c>
      <c r="I2">
        <f>H2</f>
        <v>3.03</v>
      </c>
      <c r="L2">
        <v>3.36</v>
      </c>
      <c r="N2">
        <v>3.0776026239003849</v>
      </c>
      <c r="O2">
        <v>0.10321026692195287</v>
      </c>
      <c r="P2" s="2"/>
    </row>
    <row r="3" spans="1:39" x14ac:dyDescent="0.35">
      <c r="A3" s="4">
        <f>A2+1</f>
        <v>1930</v>
      </c>
      <c r="B3">
        <v>3.1453362255965289E-2</v>
      </c>
      <c r="C3">
        <v>2.9284164859002166E-2</v>
      </c>
      <c r="D3">
        <f t="shared" si="0"/>
        <v>2.1691973969631233E-3</v>
      </c>
      <c r="E3">
        <v>-8.6762496201087114E-2</v>
      </c>
      <c r="F3">
        <v>-3.9420924867187512E-2</v>
      </c>
      <c r="H3">
        <v>1.48</v>
      </c>
      <c r="I3">
        <f t="shared" ref="I3:I12" si="1">H3</f>
        <v>1.48</v>
      </c>
      <c r="L3">
        <v>3.22</v>
      </c>
      <c r="N3">
        <v>2.7594908852768083</v>
      </c>
      <c r="O3">
        <v>-7.2186129587204648E-2</v>
      </c>
      <c r="P3" s="2"/>
    </row>
    <row r="4" spans="1:39" x14ac:dyDescent="0.35">
      <c r="A4" s="4">
        <f t="shared" ref="A4:A67" si="2">A3+1</f>
        <v>1931</v>
      </c>
      <c r="B4">
        <v>2.4547803617571057E-2</v>
      </c>
      <c r="C4">
        <v>5.0387596899224806E-2</v>
      </c>
      <c r="D4">
        <f t="shared" si="0"/>
        <v>-2.5839793281653749E-2</v>
      </c>
      <c r="E4">
        <v>-7.0941149757836275E-2</v>
      </c>
      <c r="F4">
        <v>-0.10403220020903037</v>
      </c>
      <c r="H4">
        <v>2.41</v>
      </c>
      <c r="I4">
        <f t="shared" si="1"/>
        <v>2.41</v>
      </c>
      <c r="L4">
        <v>3.93</v>
      </c>
      <c r="N4">
        <v>2.3552738640993414</v>
      </c>
      <c r="O4">
        <v>-0.25109065479123027</v>
      </c>
      <c r="P4" s="2"/>
    </row>
    <row r="5" spans="1:39" x14ac:dyDescent="0.35">
      <c r="A5" s="4">
        <f t="shared" si="2"/>
        <v>1932</v>
      </c>
      <c r="B5">
        <v>2.689075630252101E-2</v>
      </c>
      <c r="C5">
        <v>4.5378151260504207E-2</v>
      </c>
      <c r="D5">
        <f t="shared" si="0"/>
        <v>-1.8487394957983197E-2</v>
      </c>
      <c r="E5">
        <v>-0.14204205472027986</v>
      </c>
      <c r="F5">
        <v>-0.12096841332381736</v>
      </c>
      <c r="H5">
        <v>8.5000000000000006E-2</v>
      </c>
      <c r="I5">
        <f t="shared" si="1"/>
        <v>8.5000000000000006E-2</v>
      </c>
      <c r="L5">
        <v>3.35</v>
      </c>
      <c r="N5">
        <v>2.7154896353541438</v>
      </c>
      <c r="O5">
        <v>-0.53289580641289092</v>
      </c>
      <c r="P5" s="2"/>
    </row>
    <row r="6" spans="1:39" x14ac:dyDescent="0.35">
      <c r="A6" s="4">
        <f t="shared" si="2"/>
        <v>1933</v>
      </c>
      <c r="B6">
        <v>4.5454545454545456E-2</v>
      </c>
      <c r="C6">
        <v>5.5944055944055951E-2</v>
      </c>
      <c r="D6">
        <f t="shared" si="0"/>
        <v>-1.0489510489510495E-2</v>
      </c>
      <c r="E6">
        <v>-1.2000320461376557E-2</v>
      </c>
      <c r="F6">
        <v>-2.7422093704455142E-2</v>
      </c>
      <c r="H6">
        <v>0.69499999999999995</v>
      </c>
      <c r="I6">
        <f t="shared" si="1"/>
        <v>0.69499999999999995</v>
      </c>
      <c r="L6">
        <v>3.53</v>
      </c>
      <c r="N6">
        <v>3.3333019819026712</v>
      </c>
      <c r="O6">
        <v>-0.20984513299799365</v>
      </c>
      <c r="P6" s="2"/>
    </row>
    <row r="7" spans="1:39" x14ac:dyDescent="0.35">
      <c r="A7" s="4">
        <f t="shared" si="2"/>
        <v>1934</v>
      </c>
      <c r="B7">
        <v>5.089820359281437E-2</v>
      </c>
      <c r="C7">
        <v>7.9341317365269462E-2</v>
      </c>
      <c r="D7">
        <f t="shared" si="0"/>
        <v>-2.8443113772455092E-2</v>
      </c>
      <c r="E7">
        <v>0.10767697982143298</v>
      </c>
      <c r="F7">
        <v>4.7472202335414604E-2</v>
      </c>
      <c r="H7">
        <v>0.2</v>
      </c>
      <c r="I7">
        <f t="shared" si="1"/>
        <v>0.2</v>
      </c>
      <c r="L7">
        <v>2.99</v>
      </c>
      <c r="N7">
        <v>3.1823614837437639</v>
      </c>
      <c r="O7">
        <v>0.14367915876649082</v>
      </c>
      <c r="P7" s="2"/>
    </row>
    <row r="8" spans="1:39" x14ac:dyDescent="0.35">
      <c r="A8" s="4">
        <f t="shared" si="2"/>
        <v>1935</v>
      </c>
      <c r="B8">
        <v>4.9865229110512131E-2</v>
      </c>
      <c r="C8">
        <v>7.2776280323450127E-2</v>
      </c>
      <c r="D8">
        <f t="shared" si="0"/>
        <v>-2.2911051212937995E-2</v>
      </c>
      <c r="E8">
        <v>8.5138483120544173E-2</v>
      </c>
      <c r="F8">
        <v>1.9922586510190632E-2</v>
      </c>
      <c r="H8">
        <v>0.15</v>
      </c>
      <c r="I8">
        <f t="shared" si="1"/>
        <v>0.15</v>
      </c>
      <c r="L8">
        <v>2.82</v>
      </c>
      <c r="N8">
        <v>3.4140314792191551</v>
      </c>
      <c r="O8">
        <v>0.10399749301162098</v>
      </c>
      <c r="P8" s="2"/>
    </row>
    <row r="9" spans="1:39" x14ac:dyDescent="0.35">
      <c r="A9" s="4">
        <f t="shared" si="2"/>
        <v>1936</v>
      </c>
      <c r="B9">
        <v>5.4245283018867919E-2</v>
      </c>
      <c r="C9">
        <v>8.9622641509433956E-2</v>
      </c>
      <c r="D9">
        <f t="shared" si="0"/>
        <v>-3.5377358490566037E-2</v>
      </c>
      <c r="E9">
        <v>0.12108090066702948</v>
      </c>
      <c r="F9">
        <v>1.2450491957492815E-2</v>
      </c>
      <c r="H9">
        <v>0.15</v>
      </c>
      <c r="I9">
        <f t="shared" si="1"/>
        <v>0.15</v>
      </c>
      <c r="L9">
        <v>2.52</v>
      </c>
      <c r="N9">
        <v>3.2208276276279277</v>
      </c>
      <c r="O9">
        <v>0.43932295330097215</v>
      </c>
      <c r="P9" s="2"/>
    </row>
    <row r="10" spans="1:39" x14ac:dyDescent="0.35">
      <c r="A10" s="4">
        <f t="shared" si="2"/>
        <v>1937</v>
      </c>
      <c r="B10">
        <v>7.0967741935483872E-2</v>
      </c>
      <c r="C10">
        <v>6.4516129032258063E-2</v>
      </c>
      <c r="D10">
        <f t="shared" si="0"/>
        <v>6.451612903225809E-3</v>
      </c>
      <c r="E10">
        <v>5.6491190354937437E-2</v>
      </c>
      <c r="F10">
        <v>3.5812760000461186E-2</v>
      </c>
      <c r="H10">
        <v>0.11</v>
      </c>
      <c r="I10">
        <f t="shared" si="1"/>
        <v>0.11</v>
      </c>
      <c r="L10">
        <v>2.68</v>
      </c>
      <c r="N10">
        <v>2.6407227653883445</v>
      </c>
      <c r="O10">
        <v>0.10536841637767697</v>
      </c>
      <c r="P10" s="2"/>
    </row>
    <row r="11" spans="1:39" x14ac:dyDescent="0.35">
      <c r="A11" s="4">
        <f t="shared" si="2"/>
        <v>1938</v>
      </c>
      <c r="B11">
        <v>6.8649885583524028E-2</v>
      </c>
      <c r="C11">
        <v>8.1235697940503421E-2</v>
      </c>
      <c r="D11">
        <f t="shared" si="0"/>
        <v>-1.2585812356979392E-2</v>
      </c>
      <c r="E11">
        <v>-4.3388114880437367E-2</v>
      </c>
      <c r="F11">
        <v>-1.8716095611328587E-2</v>
      </c>
      <c r="H11">
        <v>0.02</v>
      </c>
      <c r="I11">
        <f t="shared" si="1"/>
        <v>0.02</v>
      </c>
      <c r="L11">
        <v>2.48</v>
      </c>
      <c r="N11">
        <v>3.3026885363117233</v>
      </c>
      <c r="O11">
        <v>-0.47116623129340768</v>
      </c>
      <c r="P11" s="2"/>
    </row>
    <row r="12" spans="1:39" x14ac:dyDescent="0.35">
      <c r="A12" s="4">
        <f t="shared" si="2"/>
        <v>1939</v>
      </c>
      <c r="B12">
        <v>6.7451820128479653E-2</v>
      </c>
      <c r="C12">
        <v>8.5653104925053541E-2</v>
      </c>
      <c r="D12">
        <f t="shared" si="0"/>
        <v>-1.8201284796573888E-2</v>
      </c>
      <c r="E12">
        <v>7.8896225337538706E-2</v>
      </c>
      <c r="F12">
        <v>-1.2500162764231604E-2</v>
      </c>
      <c r="H12">
        <v>0.04</v>
      </c>
      <c r="I12">
        <f t="shared" si="1"/>
        <v>0.04</v>
      </c>
      <c r="L12">
        <v>2.2999999999999998</v>
      </c>
      <c r="N12">
        <v>3.09596162629057</v>
      </c>
      <c r="O12">
        <v>0.18293818193584538</v>
      </c>
      <c r="P12" s="2"/>
    </row>
    <row r="13" spans="1:39" x14ac:dyDescent="0.35">
      <c r="A13" s="4">
        <f t="shared" si="2"/>
        <v>1940</v>
      </c>
      <c r="B13">
        <v>7.9689018464528652E-2</v>
      </c>
      <c r="C13">
        <v>7.9689018464528666E-2</v>
      </c>
      <c r="D13">
        <f t="shared" si="0"/>
        <v>0</v>
      </c>
      <c r="E13">
        <v>8.7866041194079259E-2</v>
      </c>
      <c r="F13">
        <v>9.0002564111277827E-3</v>
      </c>
      <c r="H13">
        <v>0.02</v>
      </c>
      <c r="I13">
        <v>0.67</v>
      </c>
      <c r="L13">
        <v>1.88</v>
      </c>
      <c r="N13">
        <v>2.836530425925718</v>
      </c>
      <c r="O13">
        <v>0.12653616431935408</v>
      </c>
      <c r="P13" s="2"/>
    </row>
    <row r="14" spans="1:39" x14ac:dyDescent="0.35">
      <c r="A14" s="4">
        <f t="shared" si="2"/>
        <v>1941</v>
      </c>
      <c r="B14">
        <v>0.11523588553750966</v>
      </c>
      <c r="C14">
        <v>0.10208816705336426</v>
      </c>
      <c r="D14">
        <f t="shared" si="0"/>
        <v>1.3147718484145393E-2</v>
      </c>
      <c r="E14">
        <v>0.16498410895286675</v>
      </c>
      <c r="F14">
        <v>6.3393533984941186E-2</v>
      </c>
      <c r="H14">
        <v>0.35</v>
      </c>
      <c r="I14">
        <v>0.66</v>
      </c>
      <c r="L14">
        <v>2.0699999999999998</v>
      </c>
      <c r="N14">
        <v>2.5722037868768468</v>
      </c>
      <c r="O14">
        <v>9.2821092686398127E-2</v>
      </c>
      <c r="P14" s="2"/>
    </row>
    <row r="15" spans="1:39" x14ac:dyDescent="0.35">
      <c r="A15" s="4">
        <f t="shared" si="2"/>
        <v>1942</v>
      </c>
      <c r="B15">
        <v>0.13433734939759037</v>
      </c>
      <c r="C15">
        <v>0.19457831325301206</v>
      </c>
      <c r="D15">
        <f t="shared" si="0"/>
        <v>-6.0240963855421686E-2</v>
      </c>
      <c r="E15">
        <v>0.16978166986124776</v>
      </c>
      <c r="F15">
        <v>8.0070832717483498E-2</v>
      </c>
      <c r="H15">
        <v>0.38</v>
      </c>
      <c r="I15">
        <v>0.82</v>
      </c>
      <c r="L15">
        <v>2.11</v>
      </c>
      <c r="N15">
        <v>2.7950395674368962</v>
      </c>
      <c r="O15">
        <v>-0.14336594147508894</v>
      </c>
      <c r="P15" s="2"/>
    </row>
    <row r="16" spans="1:39" x14ac:dyDescent="0.35">
      <c r="A16" s="4">
        <f t="shared" si="2"/>
        <v>1943</v>
      </c>
      <c r="B16">
        <v>0.189561792220581</v>
      </c>
      <c r="C16">
        <v>0.26292466765140327</v>
      </c>
      <c r="D16">
        <f t="shared" si="0"/>
        <v>-7.3362875430822261E-2</v>
      </c>
      <c r="E16">
        <v>0.1550065929291482</v>
      </c>
      <c r="F16">
        <v>4.6704087300647679E-2</v>
      </c>
      <c r="H16">
        <v>0.38</v>
      </c>
      <c r="I16">
        <v>0.77</v>
      </c>
      <c r="L16">
        <v>2.12</v>
      </c>
      <c r="N16">
        <v>2.9829431117878609</v>
      </c>
      <c r="O16">
        <v>7.9813142792128314E-3</v>
      </c>
      <c r="P16" s="2"/>
    </row>
    <row r="17" spans="1:39" x14ac:dyDescent="0.35">
      <c r="A17" s="4">
        <f t="shared" si="2"/>
        <v>1944</v>
      </c>
      <c r="B17">
        <v>0.178698752228164</v>
      </c>
      <c r="C17">
        <v>0.29634581105169339</v>
      </c>
      <c r="D17">
        <f t="shared" si="0"/>
        <v>-0.11764705882352938</v>
      </c>
      <c r="E17">
        <v>7.6176239299393878E-2</v>
      </c>
      <c r="F17">
        <v>2.3555465762808314E-2</v>
      </c>
      <c r="H17">
        <v>0.38</v>
      </c>
      <c r="I17">
        <v>0.81</v>
      </c>
      <c r="L17">
        <v>2.1</v>
      </c>
      <c r="N17">
        <v>3.0588695263894086</v>
      </c>
      <c r="O17">
        <v>6.8900701226286762E-2</v>
      </c>
      <c r="P17" s="2"/>
    </row>
    <row r="18" spans="1:39" x14ac:dyDescent="0.35">
      <c r="A18" s="4">
        <f t="shared" si="2"/>
        <v>1945</v>
      </c>
      <c r="B18">
        <v>0.18201754385964913</v>
      </c>
      <c r="C18">
        <v>0.30482456140350878</v>
      </c>
      <c r="D18">
        <f t="shared" si="0"/>
        <v>-0.12280701754385964</v>
      </c>
      <c r="E18">
        <v>-8.736233219069689E-3</v>
      </c>
      <c r="F18">
        <v>2.4651688524969018E-2</v>
      </c>
      <c r="H18">
        <v>0.38</v>
      </c>
      <c r="I18">
        <v>0.84</v>
      </c>
      <c r="L18">
        <v>1.67</v>
      </c>
      <c r="N18">
        <v>3.3341385397750849</v>
      </c>
      <c r="O18">
        <v>1.3009072820192572E-2</v>
      </c>
      <c r="P18" s="2"/>
    </row>
    <row r="19" spans="1:39" x14ac:dyDescent="0.35">
      <c r="A19" s="4">
        <f t="shared" si="2"/>
        <v>1946</v>
      </c>
      <c r="B19">
        <v>0.17362637362637362</v>
      </c>
      <c r="C19">
        <v>0.18637362637362639</v>
      </c>
      <c r="D19">
        <f t="shared" si="0"/>
        <v>-1.2747252747252774E-2</v>
      </c>
      <c r="E19">
        <v>-0.12081930669389784</v>
      </c>
      <c r="F19">
        <v>0.11862391613046208</v>
      </c>
      <c r="H19">
        <v>0.38</v>
      </c>
      <c r="I19">
        <v>0.85</v>
      </c>
      <c r="L19">
        <v>1.82</v>
      </c>
      <c r="N19">
        <v>3.1220247821836753</v>
      </c>
      <c r="O19">
        <v>0.10831860193039908</v>
      </c>
      <c r="P19" s="2"/>
      <c r="AK19">
        <v>8.5844177761595794E-2</v>
      </c>
      <c r="AL19">
        <v>9.5719520838808497E-2</v>
      </c>
      <c r="AM19">
        <v>-0.55361318309975904</v>
      </c>
    </row>
    <row r="20" spans="1:39" x14ac:dyDescent="0.35">
      <c r="A20" s="4">
        <f t="shared" si="2"/>
        <v>1947</v>
      </c>
      <c r="B20">
        <v>0.17147435897435898</v>
      </c>
      <c r="C20">
        <v>0.14022435897435898</v>
      </c>
      <c r="D20">
        <f t="shared" si="0"/>
        <v>3.125E-2</v>
      </c>
      <c r="E20">
        <v>-1.3813549346185283E-2</v>
      </c>
      <c r="F20">
        <v>0.10652294745045321</v>
      </c>
      <c r="H20">
        <v>0.96</v>
      </c>
      <c r="I20">
        <v>1.04</v>
      </c>
      <c r="K20">
        <v>1.54</v>
      </c>
      <c r="L20">
        <v>2.1800000000000002</v>
      </c>
      <c r="N20">
        <v>2.9061122414405207</v>
      </c>
      <c r="O20">
        <v>0.19822258708126025</v>
      </c>
      <c r="P20" s="2"/>
      <c r="AK20">
        <v>0.19870343428196299</v>
      </c>
      <c r="AL20">
        <v>4.9684043619958998E-2</v>
      </c>
      <c r="AM20">
        <v>-0.108509113927833</v>
      </c>
    </row>
    <row r="21" spans="1:39" x14ac:dyDescent="0.35">
      <c r="A21" s="4">
        <f t="shared" si="2"/>
        <v>1948</v>
      </c>
      <c r="B21">
        <v>0.15446265938069217</v>
      </c>
      <c r="C21">
        <v>0.13041894353369762</v>
      </c>
      <c r="D21">
        <f t="shared" si="0"/>
        <v>2.4043715846994551E-2</v>
      </c>
      <c r="E21">
        <v>3.9872863947425952E-2</v>
      </c>
      <c r="F21">
        <v>5.5218760506886788E-2</v>
      </c>
      <c r="H21">
        <v>1.1599999999999999</v>
      </c>
      <c r="I21">
        <v>1.22</v>
      </c>
      <c r="K21">
        <v>1.64</v>
      </c>
      <c r="L21">
        <v>2.12</v>
      </c>
      <c r="N21">
        <v>2.7373849263389292</v>
      </c>
      <c r="O21">
        <v>0.13171077273301104</v>
      </c>
      <c r="P21" s="2"/>
      <c r="AK21">
        <v>0.18114089658401999</v>
      </c>
      <c r="AL21">
        <v>5.1595871509164198E-2</v>
      </c>
      <c r="AM21">
        <v>-6.1504973337089298E-2</v>
      </c>
    </row>
    <row r="22" spans="1:39" x14ac:dyDescent="0.35">
      <c r="A22" s="4">
        <f t="shared" si="2"/>
        <v>1949</v>
      </c>
      <c r="B22">
        <v>0.13908256880733944</v>
      </c>
      <c r="C22">
        <v>0.14825688073394494</v>
      </c>
      <c r="D22">
        <f t="shared" si="0"/>
        <v>-9.1743119266055051E-3</v>
      </c>
      <c r="E22">
        <v>-7.0034083436287808E-3</v>
      </c>
      <c r="F22">
        <v>-3.0923850265773822E-4</v>
      </c>
      <c r="H22">
        <v>1.0900000000000001</v>
      </c>
      <c r="I22">
        <v>1.0900000000000001</v>
      </c>
      <c r="K22">
        <v>1.37</v>
      </c>
      <c r="L22">
        <v>1.8</v>
      </c>
      <c r="N22">
        <v>2.7732610715138013</v>
      </c>
      <c r="O22">
        <v>8.0304679620965755E-2</v>
      </c>
      <c r="P22" s="2"/>
      <c r="AK22">
        <v>6.3643538818925205E-2</v>
      </c>
      <c r="AL22">
        <v>5.0302522189755998E-2</v>
      </c>
      <c r="AM22">
        <v>0.228683256594609</v>
      </c>
    </row>
    <row r="23" spans="1:39" x14ac:dyDescent="0.35">
      <c r="A23" s="4">
        <f t="shared" si="2"/>
        <v>1950</v>
      </c>
      <c r="B23">
        <v>0.16277518345563707</v>
      </c>
      <c r="C23">
        <v>0.13575717144763172</v>
      </c>
      <c r="D23">
        <f t="shared" si="0"/>
        <v>2.7018012008005354E-2</v>
      </c>
      <c r="E23">
        <v>8.6087953847213683E-2</v>
      </c>
      <c r="F23">
        <v>9.3890177179849488E-3</v>
      </c>
      <c r="H23">
        <v>1.37</v>
      </c>
      <c r="I23">
        <v>1.47</v>
      </c>
      <c r="K23">
        <v>1.64</v>
      </c>
      <c r="L23">
        <v>2.1800000000000002</v>
      </c>
      <c r="N23">
        <v>2.7598406506511375</v>
      </c>
      <c r="O23">
        <v>0.21791474658865367</v>
      </c>
      <c r="P23" s="2"/>
      <c r="AK23">
        <v>2.1868292399453499E-2</v>
      </c>
      <c r="AL23">
        <v>5.54808512512708E-2</v>
      </c>
      <c r="AM23">
        <v>0.100677845719591</v>
      </c>
    </row>
    <row r="24" spans="1:39" x14ac:dyDescent="0.35">
      <c r="A24" s="4">
        <f t="shared" si="2"/>
        <v>1951</v>
      </c>
      <c r="B24">
        <v>0.18132026520611128</v>
      </c>
      <c r="C24">
        <v>0.14961083885846066</v>
      </c>
      <c r="D24">
        <f t="shared" si="0"/>
        <v>3.1709426347650616E-2</v>
      </c>
      <c r="E24">
        <v>8.0329765125920716E-2</v>
      </c>
      <c r="F24">
        <v>6.5591203181285529E-2</v>
      </c>
      <c r="H24">
        <v>1.88</v>
      </c>
      <c r="I24">
        <v>1.9</v>
      </c>
      <c r="K24">
        <v>2.09</v>
      </c>
      <c r="L24">
        <v>2.5099999999999998</v>
      </c>
      <c r="N24">
        <v>2.9121885580966747</v>
      </c>
      <c r="O24">
        <v>-2.2486827285245266E-2</v>
      </c>
      <c r="P24" s="2"/>
      <c r="AK24">
        <v>0.122337950025762</v>
      </c>
      <c r="AL24">
        <v>5.3669690454350598E-2</v>
      </c>
      <c r="AM24">
        <v>0.36707943310479102</v>
      </c>
    </row>
    <row r="25" spans="1:39" x14ac:dyDescent="0.35">
      <c r="A25" s="4">
        <f t="shared" si="2"/>
        <v>1952</v>
      </c>
      <c r="B25">
        <v>0.17914511298665939</v>
      </c>
      <c r="C25">
        <v>0.16634903348761232</v>
      </c>
      <c r="D25">
        <f t="shared" si="0"/>
        <v>1.2796079499047069E-2</v>
      </c>
      <c r="E25">
        <v>3.5569038766764205E-2</v>
      </c>
      <c r="F25">
        <v>2.1573360083153581E-2</v>
      </c>
      <c r="H25">
        <v>2.2200000000000002</v>
      </c>
      <c r="I25">
        <v>2.06</v>
      </c>
      <c r="K25">
        <v>2.2999999999999998</v>
      </c>
      <c r="L25">
        <v>2.52</v>
      </c>
      <c r="N25">
        <v>2.9726166311578708</v>
      </c>
      <c r="O25">
        <v>1.0468298289580322E-2</v>
      </c>
      <c r="P25" s="2"/>
      <c r="AK25">
        <v>6.6930056199892396E-2</v>
      </c>
      <c r="AL25">
        <v>3.1350280405469597E-2</v>
      </c>
      <c r="AM25">
        <v>0.21175811784447501</v>
      </c>
    </row>
    <row r="26" spans="1:39" x14ac:dyDescent="0.35">
      <c r="A26" s="4">
        <f t="shared" si="2"/>
        <v>1953</v>
      </c>
      <c r="B26">
        <v>0.17625899280575538</v>
      </c>
      <c r="C26">
        <v>0.16855087358684481</v>
      </c>
      <c r="D26">
        <f t="shared" si="0"/>
        <v>7.7081192189105696E-3</v>
      </c>
      <c r="E26">
        <v>4.5218028820278811E-2</v>
      </c>
      <c r="F26">
        <v>1.2696368665949809E-2</v>
      </c>
      <c r="H26">
        <v>1.48</v>
      </c>
      <c r="I26">
        <v>1.58</v>
      </c>
      <c r="K26">
        <v>2.3199999999999998</v>
      </c>
      <c r="L26">
        <v>2.59</v>
      </c>
      <c r="N26">
        <v>2.8975079172556835</v>
      </c>
      <c r="O26">
        <v>2.4673952664231127E-2</v>
      </c>
      <c r="P26" s="2"/>
      <c r="AK26">
        <v>1.0138504714923099E-2</v>
      </c>
      <c r="AL26">
        <v>4.0856536572489298E-2</v>
      </c>
      <c r="AM26">
        <v>0.24405733741241101</v>
      </c>
    </row>
    <row r="27" spans="1:39" x14ac:dyDescent="0.35">
      <c r="A27" s="4">
        <f t="shared" si="2"/>
        <v>1954</v>
      </c>
      <c r="B27">
        <v>0.16005121638924455</v>
      </c>
      <c r="C27">
        <v>0.16107554417413572</v>
      </c>
      <c r="D27">
        <f t="shared" si="0"/>
        <v>-1.0243277848911714E-3</v>
      </c>
      <c r="E27">
        <v>-6.8723661987188933E-3</v>
      </c>
      <c r="F27">
        <v>1.0206985166609339E-2</v>
      </c>
      <c r="H27">
        <v>1.02</v>
      </c>
      <c r="I27">
        <v>1.1299999999999999</v>
      </c>
      <c r="K27">
        <v>2.16</v>
      </c>
      <c r="L27">
        <v>2.5099999999999998</v>
      </c>
      <c r="N27">
        <v>3.1992056270599094</v>
      </c>
      <c r="O27">
        <v>5.9528462200968961E-2</v>
      </c>
      <c r="P27" s="2"/>
      <c r="AK27">
        <v>1.66949826220728E-2</v>
      </c>
      <c r="AL27">
        <v>4.7234326136395097E-2</v>
      </c>
      <c r="AM27">
        <v>0.58376604493164597</v>
      </c>
    </row>
    <row r="28" spans="1:39" x14ac:dyDescent="0.35">
      <c r="A28" s="4">
        <f t="shared" si="2"/>
        <v>1955</v>
      </c>
      <c r="B28">
        <v>0.16709753231492361</v>
      </c>
      <c r="C28">
        <v>0.14970622796709754</v>
      </c>
      <c r="D28">
        <f t="shared" si="0"/>
        <v>1.739130434782607E-2</v>
      </c>
      <c r="E28">
        <v>7.1801182461722846E-2</v>
      </c>
      <c r="F28">
        <v>1.4035796271965051E-2</v>
      </c>
      <c r="H28">
        <v>2.5</v>
      </c>
      <c r="I28">
        <v>2.73</v>
      </c>
      <c r="K28">
        <v>2.93</v>
      </c>
      <c r="L28">
        <v>2.96</v>
      </c>
      <c r="N28">
        <v>3.2707632107786035</v>
      </c>
      <c r="O28">
        <v>0.11631251422406558</v>
      </c>
      <c r="P28" s="2"/>
      <c r="AK28">
        <v>2.1789466594861299E-2</v>
      </c>
      <c r="AL28">
        <v>5.53870647166953E-2</v>
      </c>
      <c r="AM28">
        <v>0.10676800297290701</v>
      </c>
    </row>
    <row r="29" spans="1:39" x14ac:dyDescent="0.35">
      <c r="A29" s="4">
        <f t="shared" si="2"/>
        <v>1956</v>
      </c>
      <c r="B29">
        <v>0.16866933689363597</v>
      </c>
      <c r="C29">
        <v>0.14597240765465067</v>
      </c>
      <c r="D29">
        <f t="shared" si="0"/>
        <v>2.2696929238985308E-2</v>
      </c>
      <c r="E29">
        <v>2.0985950437163226E-2</v>
      </c>
      <c r="F29">
        <v>3.3662461300636881E-2</v>
      </c>
      <c r="H29">
        <v>3.22</v>
      </c>
      <c r="I29">
        <v>3.4</v>
      </c>
      <c r="K29">
        <v>3.7</v>
      </c>
      <c r="L29">
        <v>3.59</v>
      </c>
      <c r="N29">
        <v>3.2419100836157839</v>
      </c>
      <c r="O29">
        <v>7.2376552273911515E-2</v>
      </c>
      <c r="P29" s="2"/>
      <c r="AK29">
        <v>3.5159940381934401E-2</v>
      </c>
      <c r="AL29">
        <v>3.7529881567014201E-2</v>
      </c>
      <c r="AM29">
        <v>4.6040686774081498E-2</v>
      </c>
    </row>
    <row r="30" spans="1:39" x14ac:dyDescent="0.35">
      <c r="A30" s="4">
        <f t="shared" si="2"/>
        <v>1957</v>
      </c>
      <c r="B30">
        <v>0.16729957805907172</v>
      </c>
      <c r="C30">
        <v>0.15189873417721519</v>
      </c>
      <c r="D30">
        <f t="shared" si="0"/>
        <v>1.540084388185653E-2</v>
      </c>
      <c r="E30">
        <v>1.8956376425032229E-2</v>
      </c>
      <c r="F30">
        <v>3.4337585518815494E-2</v>
      </c>
      <c r="H30">
        <v>2.75</v>
      </c>
      <c r="I30">
        <v>2.96</v>
      </c>
      <c r="K30">
        <v>3.08</v>
      </c>
      <c r="L30">
        <v>3.21</v>
      </c>
      <c r="N30">
        <v>3.0557882124966818</v>
      </c>
      <c r="O30">
        <v>3.4775237291123091E-2</v>
      </c>
      <c r="P30" s="2"/>
      <c r="AK30">
        <v>3.49819157756035E-2</v>
      </c>
      <c r="AL30">
        <v>3.5266447996334403E-2</v>
      </c>
      <c r="AM30">
        <v>2.9854334512073401E-2</v>
      </c>
    </row>
    <row r="31" spans="1:39" x14ac:dyDescent="0.35">
      <c r="A31" s="4">
        <f t="shared" si="2"/>
        <v>1958</v>
      </c>
      <c r="B31">
        <v>0.1581463009143807</v>
      </c>
      <c r="C31">
        <v>0.16230257689110555</v>
      </c>
      <c r="D31">
        <f t="shared" si="0"/>
        <v>-4.1562759767248547E-3</v>
      </c>
      <c r="E31">
        <v>-7.9196022686636169E-3</v>
      </c>
      <c r="F31">
        <v>2.2995264674111393E-2</v>
      </c>
      <c r="H31">
        <v>2.68</v>
      </c>
      <c r="I31">
        <v>3.18</v>
      </c>
      <c r="K31">
        <v>3.82</v>
      </c>
      <c r="L31">
        <v>3.86</v>
      </c>
      <c r="N31">
        <v>3.4205938561763571</v>
      </c>
      <c r="O31">
        <v>-3.4631021884897528E-2</v>
      </c>
      <c r="P31" s="2"/>
      <c r="AK31">
        <v>4.5020224506055397E-2</v>
      </c>
      <c r="AL31">
        <v>2.0179943426463901E-2</v>
      </c>
      <c r="AM31">
        <v>0.27458924108169602</v>
      </c>
    </row>
    <row r="32" spans="1:39" x14ac:dyDescent="0.35">
      <c r="A32" s="4">
        <f t="shared" si="2"/>
        <v>1959</v>
      </c>
      <c r="B32">
        <v>0.16599578301705958</v>
      </c>
      <c r="C32">
        <v>0.15161970481119416</v>
      </c>
      <c r="D32">
        <f t="shared" si="0"/>
        <v>1.4376078205865422E-2</v>
      </c>
      <c r="E32">
        <v>6.7676674327222575E-2</v>
      </c>
      <c r="F32">
        <v>1.3133051600600076E-2</v>
      </c>
      <c r="H32">
        <v>4.4000000000000004</v>
      </c>
      <c r="I32">
        <v>5.03</v>
      </c>
      <c r="K32">
        <v>5.01</v>
      </c>
      <c r="L32">
        <v>4.6900000000000004</v>
      </c>
      <c r="N32">
        <v>3.4639249527516474</v>
      </c>
      <c r="O32">
        <v>4.4481147184726913E-2</v>
      </c>
      <c r="P32" s="2"/>
      <c r="AK32">
        <v>1.8884288677501301E-2</v>
      </c>
      <c r="AL32">
        <v>4.5063523064714998E-2</v>
      </c>
      <c r="AM32">
        <v>0.48823837728878</v>
      </c>
    </row>
    <row r="33" spans="1:39" x14ac:dyDescent="0.35">
      <c r="A33" s="4">
        <f t="shared" si="2"/>
        <v>1960</v>
      </c>
      <c r="B33">
        <v>0.17256637168141592</v>
      </c>
      <c r="C33">
        <v>0.1489675516224189</v>
      </c>
      <c r="D33">
        <f t="shared" si="0"/>
        <v>2.3598820058997022E-2</v>
      </c>
      <c r="E33">
        <v>2.5346570103161881E-2</v>
      </c>
      <c r="F33">
        <v>1.3564456494677302E-2</v>
      </c>
      <c r="H33">
        <v>2.2000000000000002</v>
      </c>
      <c r="I33">
        <v>2.5</v>
      </c>
      <c r="K33">
        <v>3.67</v>
      </c>
      <c r="L33">
        <v>3.84</v>
      </c>
      <c r="N33">
        <v>3.4139790176771618</v>
      </c>
      <c r="O33">
        <v>2.763126036494469E-2</v>
      </c>
      <c r="P33" s="2"/>
      <c r="AK33">
        <v>2.16328862339428E-2</v>
      </c>
      <c r="AL33">
        <v>6.1487366238414297E-2</v>
      </c>
      <c r="AM33">
        <v>0.151254643713924</v>
      </c>
    </row>
    <row r="34" spans="1:39" x14ac:dyDescent="0.35">
      <c r="A34" s="4">
        <f t="shared" si="2"/>
        <v>1961</v>
      </c>
      <c r="B34">
        <v>0.16915688367129134</v>
      </c>
      <c r="C34">
        <v>0.15528281750266806</v>
      </c>
      <c r="D34">
        <f t="shared" ref="D34:D65" si="3">B34-C34</f>
        <v>1.3874066168623272E-2</v>
      </c>
      <c r="E34">
        <v>2.5264215059336959E-2</v>
      </c>
      <c r="F34">
        <v>1.0589706786908515E-2</v>
      </c>
      <c r="H34">
        <v>2.67</v>
      </c>
      <c r="I34">
        <v>3.03</v>
      </c>
      <c r="K34">
        <v>3.91</v>
      </c>
      <c r="L34">
        <v>4.0599999999999996</v>
      </c>
      <c r="N34">
        <v>3.5911727751286295</v>
      </c>
      <c r="O34">
        <v>3.2660314144095301E-2</v>
      </c>
      <c r="P34" s="2"/>
      <c r="AK34">
        <v>2.8878242481032601E-2</v>
      </c>
      <c r="AL34">
        <v>4.82990572485427E-2</v>
      </c>
      <c r="AM34">
        <v>7.4676398327002694E-2</v>
      </c>
    </row>
    <row r="35" spans="1:39" x14ac:dyDescent="0.35">
      <c r="A35" s="4">
        <f t="shared" si="2"/>
        <v>1962</v>
      </c>
      <c r="B35">
        <v>0.17088922006954796</v>
      </c>
      <c r="C35">
        <v>0.1574764033780427</v>
      </c>
      <c r="D35">
        <f t="shared" si="3"/>
        <v>1.3412816691505264E-2</v>
      </c>
      <c r="E35">
        <v>5.9424583137636766E-2</v>
      </c>
      <c r="F35">
        <v>1.2126379703786938E-2</v>
      </c>
      <c r="H35">
        <v>2.92</v>
      </c>
      <c r="I35" s="5">
        <v>3.05</v>
      </c>
      <c r="K35" s="5">
        <v>3.56</v>
      </c>
      <c r="L35">
        <v>3.85</v>
      </c>
      <c r="N35">
        <v>3.3966409393786603</v>
      </c>
      <c r="O35">
        <v>5.2519695970573405E-2</v>
      </c>
      <c r="P35" s="2"/>
      <c r="T35" s="5">
        <v>3.92</v>
      </c>
      <c r="AK35">
        <v>4.0973039373634099E-2</v>
      </c>
      <c r="AL35">
        <v>3.7557528744936397E-2</v>
      </c>
      <c r="AM35">
        <v>-8.4338494112935397E-2</v>
      </c>
    </row>
    <row r="36" spans="1:39" x14ac:dyDescent="0.35">
      <c r="A36" s="4">
        <f t="shared" si="2"/>
        <v>1963</v>
      </c>
      <c r="B36">
        <v>0.17458823529411766</v>
      </c>
      <c r="C36">
        <v>0.15513725490196079</v>
      </c>
      <c r="D36">
        <f t="shared" si="3"/>
        <v>1.9450980392156869E-2</v>
      </c>
      <c r="E36">
        <v>4.2745690103415779E-2</v>
      </c>
      <c r="F36">
        <v>1.1399965615309871E-2</v>
      </c>
      <c r="H36">
        <v>3.51</v>
      </c>
      <c r="I36" s="5">
        <v>3.83</v>
      </c>
      <c r="K36" s="5">
        <v>4.0599999999999996</v>
      </c>
      <c r="L36">
        <v>4.1399999999999997</v>
      </c>
      <c r="N36">
        <v>3.49711303985872</v>
      </c>
      <c r="O36">
        <v>5.8325264349129061E-2</v>
      </c>
      <c r="P36" s="2"/>
      <c r="T36" s="5">
        <v>4.1900000000000004</v>
      </c>
      <c r="AK36">
        <v>4.3769539938474503E-2</v>
      </c>
      <c r="AL36">
        <v>4.0253129212217201E-2</v>
      </c>
      <c r="AM36">
        <v>6.8338617905275206E-2</v>
      </c>
    </row>
    <row r="37" spans="1:39" x14ac:dyDescent="0.35">
      <c r="A37" s="4">
        <f t="shared" si="2"/>
        <v>1964</v>
      </c>
      <c r="B37">
        <v>0.16260043827611395</v>
      </c>
      <c r="C37">
        <v>0.14959824689554418</v>
      </c>
      <c r="D37">
        <f t="shared" si="3"/>
        <v>1.3002191380569766E-2</v>
      </c>
      <c r="E37">
        <v>5.6019276652029326E-2</v>
      </c>
      <c r="F37">
        <v>1.5115091043893525E-2</v>
      </c>
      <c r="H37">
        <v>3.82</v>
      </c>
      <c r="I37" s="5">
        <v>3.99</v>
      </c>
      <c r="K37" s="5">
        <v>4.12</v>
      </c>
      <c r="L37">
        <v>4.21</v>
      </c>
      <c r="N37">
        <v>3.5367547003105169</v>
      </c>
      <c r="O37">
        <v>8.2397807056086722E-2</v>
      </c>
      <c r="P37" s="2"/>
      <c r="T37" s="5">
        <v>4.21</v>
      </c>
      <c r="AK37">
        <v>3.7250191096334602E-2</v>
      </c>
      <c r="AL37">
        <v>5.6963615981959898E-2</v>
      </c>
      <c r="AM37">
        <v>-1.96608631159986E-2</v>
      </c>
    </row>
    <row r="38" spans="1:39" x14ac:dyDescent="0.35">
      <c r="A38" s="4">
        <f t="shared" si="2"/>
        <v>1965</v>
      </c>
      <c r="B38">
        <v>0.16219857200592755</v>
      </c>
      <c r="C38">
        <v>0.14697561632763034</v>
      </c>
      <c r="D38">
        <f t="shared" si="3"/>
        <v>1.5222955678297206E-2</v>
      </c>
      <c r="E38">
        <v>6.2908302253374515E-2</v>
      </c>
      <c r="F38">
        <v>1.815652714162308E-2</v>
      </c>
      <c r="H38">
        <v>4.49</v>
      </c>
      <c r="I38" s="5">
        <v>4.96</v>
      </c>
      <c r="K38" s="5">
        <v>4.88</v>
      </c>
      <c r="L38">
        <v>4.6500000000000004</v>
      </c>
      <c r="N38">
        <v>3.549473016394701</v>
      </c>
      <c r="O38">
        <v>9.2755062331183039E-2</v>
      </c>
      <c r="P38" s="2"/>
      <c r="T38" s="5">
        <v>4.5199999999999996</v>
      </c>
      <c r="AK38">
        <v>4.5431396389526701E-2</v>
      </c>
      <c r="AL38">
        <v>3.60892655936721E-2</v>
      </c>
      <c r="AM38">
        <v>1.20295862862421E-2</v>
      </c>
    </row>
    <row r="39" spans="1:39" x14ac:dyDescent="0.35">
      <c r="A39" s="4">
        <f t="shared" si="2"/>
        <v>1966</v>
      </c>
      <c r="B39">
        <v>0.16892058028030491</v>
      </c>
      <c r="C39">
        <v>0.15502827637078931</v>
      </c>
      <c r="D39">
        <f t="shared" si="3"/>
        <v>1.3892303909515596E-2</v>
      </c>
      <c r="E39">
        <v>6.3853258403673507E-2</v>
      </c>
      <c r="F39">
        <v>2.7616260945949378E-2</v>
      </c>
      <c r="H39">
        <v>4.8099999999999996</v>
      </c>
      <c r="I39" s="5">
        <v>5</v>
      </c>
      <c r="K39" s="5">
        <v>4.8</v>
      </c>
      <c r="L39">
        <v>4.6399999999999997</v>
      </c>
      <c r="N39">
        <v>3.3657624763169607</v>
      </c>
      <c r="O39">
        <v>6.0330527903269648E-2</v>
      </c>
      <c r="P39" s="2"/>
      <c r="T39" s="5">
        <v>4.58</v>
      </c>
      <c r="AK39">
        <v>4.1555787125538403E-2</v>
      </c>
      <c r="AL39">
        <v>3.98613247512088E-2</v>
      </c>
      <c r="AM39">
        <v>-3.2523176622900801E-2</v>
      </c>
    </row>
    <row r="40" spans="1:39" x14ac:dyDescent="0.35">
      <c r="A40" s="4">
        <f t="shared" si="2"/>
        <v>1967</v>
      </c>
      <c r="B40">
        <v>0.17011627906976745</v>
      </c>
      <c r="C40">
        <v>0.17</v>
      </c>
      <c r="D40">
        <f t="shared" si="3"/>
        <v>1.1627906976743874E-4</v>
      </c>
      <c r="E40">
        <v>2.7132941891803597E-2</v>
      </c>
      <c r="F40">
        <v>2.8576453882625419E-2</v>
      </c>
      <c r="H40">
        <v>5.04</v>
      </c>
      <c r="I40" s="5">
        <v>5.76</v>
      </c>
      <c r="K40" s="5">
        <v>5.78</v>
      </c>
      <c r="L40">
        <v>5.7</v>
      </c>
      <c r="N40">
        <v>3.5598013905917498</v>
      </c>
      <c r="O40">
        <v>2.7282400526500949E-2</v>
      </c>
      <c r="P40" s="2"/>
      <c r="T40" s="5">
        <v>5.56</v>
      </c>
      <c r="AK40">
        <v>3.09541376070506E-2</v>
      </c>
      <c r="AL40">
        <v>3.8793822089620102E-2</v>
      </c>
      <c r="AM40">
        <v>0.142566378013366</v>
      </c>
    </row>
    <row r="41" spans="1:39" x14ac:dyDescent="0.35">
      <c r="A41" s="4">
        <f t="shared" si="2"/>
        <v>1968</v>
      </c>
      <c r="B41">
        <v>0.18135431061975124</v>
      </c>
      <c r="C41">
        <v>0.17263739768257683</v>
      </c>
      <c r="D41">
        <f t="shared" si="3"/>
        <v>8.7169129371744147E-3</v>
      </c>
      <c r="E41">
        <v>4.7996412989217418E-2</v>
      </c>
      <c r="F41">
        <v>4.1695476741135273E-2</v>
      </c>
      <c r="H41">
        <v>6.25</v>
      </c>
      <c r="I41" s="5">
        <v>6.46</v>
      </c>
      <c r="K41" s="5">
        <v>6.33</v>
      </c>
      <c r="L41">
        <v>6.16</v>
      </c>
      <c r="N41">
        <v>3.6130133974002043</v>
      </c>
      <c r="O41">
        <v>5.0853502372845763E-2</v>
      </c>
      <c r="P41" s="2"/>
      <c r="T41" s="5">
        <v>5.98</v>
      </c>
      <c r="AK41">
        <v>3.6287217291418601E-2</v>
      </c>
      <c r="AL41">
        <v>5.9964186471907002E-2</v>
      </c>
      <c r="AM41">
        <v>0.22484354580822299</v>
      </c>
    </row>
    <row r="42" spans="1:39" x14ac:dyDescent="0.35">
      <c r="A42" s="4">
        <f t="shared" si="2"/>
        <v>1969</v>
      </c>
      <c r="B42">
        <v>0.18848270440251574</v>
      </c>
      <c r="C42">
        <v>0.16902515723270442</v>
      </c>
      <c r="D42">
        <f t="shared" si="3"/>
        <v>1.9457547169811323E-2</v>
      </c>
      <c r="E42">
        <v>3.0647563392786292E-2</v>
      </c>
      <c r="F42">
        <v>4.793035021516534E-2</v>
      </c>
      <c r="H42">
        <v>8.01</v>
      </c>
      <c r="I42" s="5">
        <v>8.32</v>
      </c>
      <c r="K42" s="5">
        <v>8.2200000000000006</v>
      </c>
      <c r="L42">
        <v>7.88</v>
      </c>
      <c r="N42">
        <v>3.4278541150692345</v>
      </c>
      <c r="O42">
        <v>4.0429007644107881E-2</v>
      </c>
      <c r="P42" s="2"/>
      <c r="T42" s="5">
        <v>6.94</v>
      </c>
      <c r="AK42">
        <v>3.9686704099805702E-2</v>
      </c>
      <c r="AL42">
        <v>6.1337789282391197E-2</v>
      </c>
      <c r="AM42">
        <v>0.17019706989751801</v>
      </c>
    </row>
    <row r="43" spans="1:39" x14ac:dyDescent="0.35">
      <c r="A43" s="4">
        <f t="shared" si="2"/>
        <v>1970</v>
      </c>
      <c r="B43">
        <v>0.17245877201155316</v>
      </c>
      <c r="C43">
        <v>0.17646510761203765</v>
      </c>
      <c r="D43">
        <f t="shared" si="3"/>
        <v>-4.0063356004844952E-3</v>
      </c>
      <c r="E43">
        <v>1.9054746733697669E-3</v>
      </c>
      <c r="F43">
        <v>5.1385626228251269E-2</v>
      </c>
      <c r="H43">
        <v>4.8499999999999996</v>
      </c>
      <c r="I43" s="5">
        <v>4.9400000000000004</v>
      </c>
      <c r="K43" s="5">
        <v>5.98</v>
      </c>
      <c r="L43">
        <v>6.5</v>
      </c>
      <c r="N43">
        <v>3.4336550510264892</v>
      </c>
      <c r="O43">
        <v>-4.1293275940937769E-2</v>
      </c>
      <c r="P43" s="2"/>
      <c r="T43" s="5">
        <v>6.45</v>
      </c>
      <c r="AK43">
        <v>5.4290363414802201E-2</v>
      </c>
      <c r="AL43">
        <v>5.0195845498619399E-2</v>
      </c>
      <c r="AM43">
        <v>-6.18279760238402E-2</v>
      </c>
    </row>
    <row r="44" spans="1:39" x14ac:dyDescent="0.35">
      <c r="A44" s="4">
        <f t="shared" si="2"/>
        <v>1971</v>
      </c>
      <c r="B44">
        <v>0.16370503905914668</v>
      </c>
      <c r="C44">
        <v>0.17984376341316849</v>
      </c>
      <c r="D44">
        <f t="shared" si="3"/>
        <v>-1.6138724354021805E-2</v>
      </c>
      <c r="E44">
        <v>3.240826030775068E-2</v>
      </c>
      <c r="F44">
        <v>4.9488971610502031E-2</v>
      </c>
      <c r="H44">
        <v>3.68</v>
      </c>
      <c r="I44" s="5">
        <v>4.46</v>
      </c>
      <c r="K44" s="5">
        <v>5.5</v>
      </c>
      <c r="L44">
        <v>5.89</v>
      </c>
      <c r="N44">
        <v>3.562884256223358</v>
      </c>
      <c r="O44">
        <v>-8.6457189164463842E-3</v>
      </c>
      <c r="P44" s="2"/>
      <c r="T44" s="5">
        <v>5.99</v>
      </c>
      <c r="AK44">
        <v>6.3315074237830796E-2</v>
      </c>
      <c r="AL44">
        <v>2.5684627716018E-2</v>
      </c>
      <c r="AM44">
        <v>0.185458318803253</v>
      </c>
    </row>
    <row r="45" spans="1:39" x14ac:dyDescent="0.35">
      <c r="A45" s="4">
        <f t="shared" si="2"/>
        <v>1972</v>
      </c>
      <c r="B45">
        <v>0.17121413493862875</v>
      </c>
      <c r="C45">
        <v>0.1827065905714956</v>
      </c>
      <c r="D45">
        <f t="shared" si="3"/>
        <v>-1.1492455632866855E-2</v>
      </c>
      <c r="E45">
        <v>5.1198022222578299E-2</v>
      </c>
      <c r="F45">
        <v>4.2323436977037776E-2</v>
      </c>
      <c r="H45">
        <v>5.14</v>
      </c>
      <c r="I45" s="5">
        <v>5.68</v>
      </c>
      <c r="K45" s="5">
        <v>6.26</v>
      </c>
      <c r="L45">
        <v>6.41</v>
      </c>
      <c r="N45">
        <v>3.6775100603246966</v>
      </c>
      <c r="O45">
        <v>1.8886521649435484E-2</v>
      </c>
      <c r="P45" s="2"/>
      <c r="T45" s="5">
        <v>6.03</v>
      </c>
      <c r="AK45">
        <v>5.8805953502109598E-2</v>
      </c>
      <c r="AL45">
        <v>4.2937684711496601E-2</v>
      </c>
      <c r="AM45">
        <v>0.30735919251862698</v>
      </c>
    </row>
    <row r="46" spans="1:39" x14ac:dyDescent="0.35">
      <c r="A46" s="4">
        <f t="shared" si="2"/>
        <v>1973</v>
      </c>
      <c r="B46">
        <v>0.1748281184228988</v>
      </c>
      <c r="C46">
        <v>0.1737757822365652</v>
      </c>
      <c r="D46">
        <f t="shared" si="3"/>
        <v>1.0523361863336023E-3</v>
      </c>
      <c r="E46">
        <v>5.4993545653927889E-2</v>
      </c>
      <c r="F46">
        <v>5.3302224808495335E-2</v>
      </c>
      <c r="H46">
        <v>7.46</v>
      </c>
      <c r="I46" s="5">
        <v>7.3</v>
      </c>
      <c r="K46" s="5">
        <v>6.83</v>
      </c>
      <c r="L46">
        <v>6.9</v>
      </c>
      <c r="N46">
        <v>3.4108569408496039</v>
      </c>
      <c r="O46">
        <v>2.9703688078381751E-2</v>
      </c>
      <c r="P46" s="2"/>
      <c r="T46" s="5">
        <v>7.38</v>
      </c>
      <c r="AK46">
        <v>9.0831962163062094E-2</v>
      </c>
      <c r="AL46">
        <v>5.6134682508581203E-2</v>
      </c>
      <c r="AM46">
        <v>0.121193374464693</v>
      </c>
    </row>
    <row r="47" spans="1:39" x14ac:dyDescent="0.35">
      <c r="A47" s="4">
        <f t="shared" si="2"/>
        <v>1974</v>
      </c>
      <c r="B47">
        <v>0.18023556821123479</v>
      </c>
      <c r="C47">
        <v>0.17822935542324619</v>
      </c>
      <c r="D47">
        <f t="shared" si="3"/>
        <v>2.0062127879885983E-3</v>
      </c>
      <c r="E47">
        <v>-5.2185364192416372E-3</v>
      </c>
      <c r="F47">
        <v>8.5919412143596663E-2</v>
      </c>
      <c r="H47">
        <v>7.06</v>
      </c>
      <c r="I47" s="5">
        <v>7.35</v>
      </c>
      <c r="K47" s="5">
        <v>7.36</v>
      </c>
      <c r="L47">
        <v>7.4</v>
      </c>
      <c r="N47">
        <v>2.9575697317252927</v>
      </c>
      <c r="O47">
        <v>8.2938590754795385E-2</v>
      </c>
      <c r="P47" s="2"/>
      <c r="T47" s="5">
        <v>7.93</v>
      </c>
      <c r="AK47">
        <v>0.15237493668305799</v>
      </c>
      <c r="AL47">
        <v>5.0982403211247201E-3</v>
      </c>
      <c r="AM47">
        <v>-0.15342989499967799</v>
      </c>
    </row>
    <row r="48" spans="1:39" x14ac:dyDescent="0.35">
      <c r="A48" s="4">
        <f t="shared" si="2"/>
        <v>1975</v>
      </c>
      <c r="B48">
        <v>0.16428274675054899</v>
      </c>
      <c r="C48">
        <v>0.1938393969968544</v>
      </c>
      <c r="D48">
        <f t="shared" si="3"/>
        <v>-2.955665024630541E-2</v>
      </c>
      <c r="E48">
        <v>-2.2675415676971511E-3</v>
      </c>
      <c r="F48">
        <v>8.8820404619911475E-2</v>
      </c>
      <c r="H48">
        <v>5.2</v>
      </c>
      <c r="I48" s="5">
        <v>6.16</v>
      </c>
      <c r="K48" s="5">
        <v>7.5</v>
      </c>
      <c r="L48">
        <v>7.76</v>
      </c>
      <c r="N48">
        <v>3.2110291217009439</v>
      </c>
      <c r="O48">
        <v>2.2753959845259127E-2</v>
      </c>
      <c r="P48" s="2"/>
      <c r="T48" s="5">
        <v>8.0399999999999991</v>
      </c>
      <c r="AK48">
        <v>0.1256574237269</v>
      </c>
      <c r="AL48">
        <v>-3.6832565894410699E-3</v>
      </c>
      <c r="AM48">
        <v>0.269790882485961</v>
      </c>
    </row>
    <row r="49" spans="1:39" x14ac:dyDescent="0.35">
      <c r="A49" s="4">
        <f t="shared" si="2"/>
        <v>1976</v>
      </c>
      <c r="B49">
        <v>0.17220027757019324</v>
      </c>
      <c r="C49">
        <v>0.18671933383153624</v>
      </c>
      <c r="D49">
        <f t="shared" si="3"/>
        <v>-1.4519056261343005E-2</v>
      </c>
      <c r="E49">
        <v>5.2459836227224166E-2</v>
      </c>
      <c r="F49">
        <v>5.3588910703465942E-2</v>
      </c>
      <c r="H49">
        <v>4.34</v>
      </c>
      <c r="I49" s="5">
        <v>4.8600000000000003</v>
      </c>
      <c r="J49">
        <v>5.7108196721311399</v>
      </c>
      <c r="K49" s="5">
        <v>6.13</v>
      </c>
      <c r="L49">
        <v>6.81</v>
      </c>
      <c r="N49">
        <v>3.2988251621348659</v>
      </c>
      <c r="O49">
        <v>0.1131574835964537</v>
      </c>
      <c r="P49" s="2"/>
      <c r="T49" s="5">
        <v>7.17</v>
      </c>
      <c r="AK49">
        <v>0.100453544824714</v>
      </c>
      <c r="AL49">
        <v>4.0012599288545399E-2</v>
      </c>
      <c r="AM49">
        <v>-1.4240320684269199E-2</v>
      </c>
    </row>
    <row r="50" spans="1:39" x14ac:dyDescent="0.35">
      <c r="A50" s="4">
        <f t="shared" si="2"/>
        <v>1977</v>
      </c>
      <c r="B50">
        <v>0.17480065328081465</v>
      </c>
      <c r="C50">
        <v>0.18147756748967239</v>
      </c>
      <c r="D50">
        <f t="shared" si="3"/>
        <v>-6.6769142088577427E-3</v>
      </c>
      <c r="E50">
        <v>4.520667176868276E-2</v>
      </c>
      <c r="F50">
        <v>6.0271270537655575E-2</v>
      </c>
      <c r="H50">
        <v>6.13</v>
      </c>
      <c r="I50" s="5">
        <v>6.98</v>
      </c>
      <c r="J50" s="5">
        <v>7.22</v>
      </c>
      <c r="K50" s="5">
        <v>7.54</v>
      </c>
      <c r="L50">
        <v>7.78</v>
      </c>
      <c r="M50" s="14">
        <v>8.0299999999999994</v>
      </c>
      <c r="N50">
        <v>3.0826515114422857</v>
      </c>
      <c r="O50">
        <v>0.14328360794049913</v>
      </c>
      <c r="P50" s="2"/>
      <c r="T50" s="5">
        <v>7.98</v>
      </c>
      <c r="AK50">
        <v>9.6937700429142307E-2</v>
      </c>
      <c r="AL50">
        <v>2.4840740743288001E-2</v>
      </c>
      <c r="AM50">
        <v>0.12823703614817999</v>
      </c>
    </row>
    <row r="51" spans="1:39" x14ac:dyDescent="0.35">
      <c r="A51" s="4">
        <f t="shared" si="2"/>
        <v>1978</v>
      </c>
      <c r="B51">
        <v>0.18021772410273856</v>
      </c>
      <c r="C51">
        <v>0.17613539717639054</v>
      </c>
      <c r="D51">
        <f t="shared" si="3"/>
        <v>4.0823269263480233E-3</v>
      </c>
      <c r="E51">
        <v>5.3887922818426581E-2</v>
      </c>
      <c r="F51">
        <v>6.7975120628304353E-2</v>
      </c>
      <c r="H51">
        <v>9.26</v>
      </c>
      <c r="I51" s="5">
        <v>10.57</v>
      </c>
      <c r="J51" s="5">
        <v>9.98</v>
      </c>
      <c r="K51" s="5">
        <v>9.32</v>
      </c>
      <c r="L51">
        <v>9.15</v>
      </c>
      <c r="M51" s="14">
        <v>8.9600000000000009</v>
      </c>
      <c r="N51">
        <v>3.0064409798145966</v>
      </c>
      <c r="O51">
        <v>0.1108319358047451</v>
      </c>
      <c r="P51" s="2"/>
      <c r="T51" s="5">
        <v>8.99</v>
      </c>
      <c r="AK51">
        <v>6.5922104287591099E-2</v>
      </c>
      <c r="AL51">
        <v>3.2530120697823101E-2</v>
      </c>
      <c r="AM51">
        <v>0.31644505235153197</v>
      </c>
    </row>
    <row r="52" spans="1:39" x14ac:dyDescent="0.35">
      <c r="A52" s="4">
        <f t="shared" si="2"/>
        <v>1979</v>
      </c>
      <c r="B52">
        <v>0.18536139763255052</v>
      </c>
      <c r="C52">
        <v>0.17207779850036159</v>
      </c>
      <c r="D52">
        <f t="shared" si="3"/>
        <v>1.3283599132188934E-2</v>
      </c>
      <c r="E52">
        <v>3.1211610026768533E-2</v>
      </c>
      <c r="F52">
        <v>7.964914531624423E-2</v>
      </c>
      <c r="H52">
        <v>12.04</v>
      </c>
      <c r="I52" s="5">
        <v>11.7</v>
      </c>
      <c r="J52" s="5">
        <v>11.23</v>
      </c>
      <c r="K52" s="5">
        <v>10.38</v>
      </c>
      <c r="L52">
        <v>10.33</v>
      </c>
      <c r="M52" s="14">
        <v>10.11</v>
      </c>
      <c r="N52">
        <v>3.0510441652014619</v>
      </c>
      <c r="O52">
        <v>0.1260818262292302</v>
      </c>
      <c r="P52" s="2"/>
      <c r="T52" s="5">
        <v>10.16</v>
      </c>
      <c r="AK52">
        <v>7.7685698821091206E-2</v>
      </c>
      <c r="AL52">
        <v>3.59381498099886E-2</v>
      </c>
      <c r="AM52">
        <v>5.5272355558142E-2</v>
      </c>
    </row>
    <row r="53" spans="1:39" x14ac:dyDescent="0.35">
      <c r="A53" s="4">
        <f t="shared" si="2"/>
        <v>1980</v>
      </c>
      <c r="B53">
        <v>0.18678472684002381</v>
      </c>
      <c r="C53">
        <v>0.18419486928218948</v>
      </c>
      <c r="D53">
        <f t="shared" si="3"/>
        <v>2.5898575578343352E-3</v>
      </c>
      <c r="E53">
        <v>-2.8091313061215928E-3</v>
      </c>
      <c r="F53">
        <v>8.6729551403379457E-2</v>
      </c>
      <c r="H53">
        <v>14.3</v>
      </c>
      <c r="I53" s="5">
        <v>13.86</v>
      </c>
      <c r="J53" s="5">
        <v>13.06</v>
      </c>
      <c r="K53" s="5">
        <v>12.59</v>
      </c>
      <c r="L53">
        <v>12.43</v>
      </c>
      <c r="M53" s="14">
        <v>11.98</v>
      </c>
      <c r="N53">
        <v>3.1884906962541506</v>
      </c>
      <c r="O53">
        <v>0.10418185610848324</v>
      </c>
      <c r="P53" s="2"/>
      <c r="T53" s="5">
        <v>12.09</v>
      </c>
      <c r="AK53">
        <v>0.110109439012052</v>
      </c>
      <c r="AL53">
        <v>1.3546020375102399E-2</v>
      </c>
      <c r="AM53">
        <v>0.164266064041515</v>
      </c>
    </row>
    <row r="54" spans="1:39" x14ac:dyDescent="0.35">
      <c r="A54" s="4">
        <f t="shared" si="2"/>
        <v>1981</v>
      </c>
      <c r="B54">
        <v>0.19367009666354851</v>
      </c>
      <c r="C54">
        <v>0.18412846897411914</v>
      </c>
      <c r="D54">
        <f t="shared" si="3"/>
        <v>9.5416276894293717E-3</v>
      </c>
      <c r="E54">
        <v>2.5241595522801141E-2</v>
      </c>
      <c r="F54">
        <v>9.0217202201984037E-2</v>
      </c>
      <c r="H54">
        <v>11.08</v>
      </c>
      <c r="I54" s="5">
        <v>13.35</v>
      </c>
      <c r="J54" s="5">
        <v>13.63</v>
      </c>
      <c r="K54" s="5">
        <v>13.97</v>
      </c>
      <c r="L54">
        <v>13.98</v>
      </c>
      <c r="M54" s="14">
        <v>13.65</v>
      </c>
      <c r="N54">
        <v>3.0236241493788785</v>
      </c>
      <c r="O54">
        <v>7.9167873306041331E-2</v>
      </c>
      <c r="P54" s="2"/>
      <c r="T54" s="5">
        <v>14.04</v>
      </c>
      <c r="AK54">
        <v>9.49819156490989E-2</v>
      </c>
      <c r="AL54">
        <v>5.76327833671851E-3</v>
      </c>
      <c r="AM54">
        <v>-7.2629224371721701E-2</v>
      </c>
    </row>
    <row r="55" spans="1:39" x14ac:dyDescent="0.35">
      <c r="A55" s="4">
        <f t="shared" si="2"/>
        <v>1982</v>
      </c>
      <c r="B55">
        <v>0.18502900891201626</v>
      </c>
      <c r="C55">
        <v>0.194868114121658</v>
      </c>
      <c r="D55">
        <f t="shared" si="3"/>
        <v>-9.8391052096417353E-3</v>
      </c>
      <c r="E55">
        <v>-1.8221479519782591E-2</v>
      </c>
      <c r="F55">
        <v>5.999344363017256E-2</v>
      </c>
      <c r="H55">
        <v>8.1999999999999993</v>
      </c>
      <c r="I55" s="5">
        <v>8.68</v>
      </c>
      <c r="J55" s="5">
        <v>9.48</v>
      </c>
      <c r="K55" s="5">
        <v>10.09</v>
      </c>
      <c r="L55">
        <v>10.36</v>
      </c>
      <c r="M55" s="14">
        <v>10.43</v>
      </c>
      <c r="N55">
        <v>3.1088032977454376</v>
      </c>
      <c r="O55">
        <v>4.8868406199759018E-2</v>
      </c>
      <c r="P55" s="2"/>
      <c r="T55" s="5">
        <v>10.62</v>
      </c>
      <c r="AK55">
        <v>7.8848508567163494E-2</v>
      </c>
      <c r="AL55">
        <v>9.2760718186201997E-3</v>
      </c>
      <c r="AM55">
        <v>-3.46686383325049E-2</v>
      </c>
    </row>
    <row r="56" spans="1:39" x14ac:dyDescent="0.35">
      <c r="A56" s="4">
        <f t="shared" si="2"/>
        <v>1983</v>
      </c>
      <c r="B56">
        <v>0.17743533296642816</v>
      </c>
      <c r="C56">
        <v>0.19408365437534397</v>
      </c>
      <c r="D56">
        <f t="shared" si="3"/>
        <v>-1.6648321408915812E-2</v>
      </c>
      <c r="E56">
        <v>4.4886241515155412E-2</v>
      </c>
      <c r="F56">
        <v>3.8339843637415605E-2</v>
      </c>
      <c r="H56">
        <v>9.33</v>
      </c>
      <c r="I56" s="5">
        <v>10.08</v>
      </c>
      <c r="J56" s="5">
        <v>10.85</v>
      </c>
      <c r="K56" s="5">
        <v>11.57</v>
      </c>
      <c r="L56">
        <v>11.82</v>
      </c>
      <c r="M56" s="14">
        <v>11.87</v>
      </c>
      <c r="N56">
        <v>3.2438525822083499</v>
      </c>
      <c r="O56">
        <v>3.0110590093885066E-2</v>
      </c>
      <c r="P56" s="2"/>
      <c r="T56" s="5">
        <v>11.98</v>
      </c>
      <c r="AK56">
        <v>5.9337183704589902E-2</v>
      </c>
      <c r="AL56">
        <v>1.71126137759205E-2</v>
      </c>
      <c r="AM56">
        <v>0.25942861678620899</v>
      </c>
    </row>
    <row r="57" spans="1:39" x14ac:dyDescent="0.35">
      <c r="A57" s="4">
        <f t="shared" si="2"/>
        <v>1984</v>
      </c>
      <c r="B57">
        <v>0.17614424410540916</v>
      </c>
      <c r="C57">
        <v>0.1824598771547454</v>
      </c>
      <c r="D57">
        <f t="shared" si="3"/>
        <v>-6.3156330493362445E-3</v>
      </c>
      <c r="E57">
        <v>6.9848088525503726E-2</v>
      </c>
      <c r="F57">
        <v>3.5468397544432761E-2</v>
      </c>
      <c r="H57">
        <v>8.1199999999999992</v>
      </c>
      <c r="I57" s="5">
        <v>9.2200000000000006</v>
      </c>
      <c r="J57" s="5">
        <v>10.02</v>
      </c>
      <c r="K57" s="5">
        <v>11.08</v>
      </c>
      <c r="L57">
        <v>11.55</v>
      </c>
      <c r="M57" s="14">
        <v>11.54</v>
      </c>
      <c r="N57">
        <v>3.1886769274337756</v>
      </c>
      <c r="O57">
        <v>4.467470775785596E-2</v>
      </c>
      <c r="P57" s="2"/>
      <c r="T57" s="5">
        <v>11.7</v>
      </c>
      <c r="AK57">
        <v>4.9617835105601998E-2</v>
      </c>
      <c r="AL57">
        <v>2.7357661630962302E-2</v>
      </c>
      <c r="AM57">
        <v>6.7348352445116694E-2</v>
      </c>
    </row>
    <row r="58" spans="1:39" x14ac:dyDescent="0.35">
      <c r="A58" s="4">
        <f t="shared" si="2"/>
        <v>1985</v>
      </c>
      <c r="B58">
        <v>0.17877391103941001</v>
      </c>
      <c r="C58">
        <v>0.18135515095644159</v>
      </c>
      <c r="D58">
        <f t="shared" si="3"/>
        <v>-2.5812399170315747E-3</v>
      </c>
      <c r="E58">
        <v>4.0834336936023341E-2</v>
      </c>
      <c r="F58">
        <v>3.1159113836275232E-2</v>
      </c>
      <c r="H58">
        <v>7.28</v>
      </c>
      <c r="I58" s="5">
        <v>7.6</v>
      </c>
      <c r="J58" s="5">
        <v>7.98</v>
      </c>
      <c r="K58" s="5">
        <v>8.49</v>
      </c>
      <c r="L58">
        <v>9</v>
      </c>
      <c r="M58" s="14">
        <v>9.27</v>
      </c>
      <c r="N58">
        <v>3.3591418942331495</v>
      </c>
      <c r="O58">
        <v>6.5191453224709109E-2</v>
      </c>
      <c r="P58" s="2"/>
      <c r="T58" s="5">
        <v>9.5</v>
      </c>
      <c r="AK58">
        <v>4.3481562158647603E-2</v>
      </c>
      <c r="AL58">
        <v>3.1689760092642898E-2</v>
      </c>
      <c r="AM58">
        <v>0.58921636617634199</v>
      </c>
    </row>
    <row r="59" spans="1:39" x14ac:dyDescent="0.35">
      <c r="A59" s="4">
        <f t="shared" si="2"/>
        <v>1986</v>
      </c>
      <c r="B59">
        <v>0.17859638396366492</v>
      </c>
      <c r="C59">
        <v>0.18307275744606513</v>
      </c>
      <c r="D59">
        <f t="shared" si="3"/>
        <v>-4.4763734824002088E-3</v>
      </c>
      <c r="E59">
        <v>3.3907353217580649E-2</v>
      </c>
      <c r="F59">
        <v>2.0060398033725502E-2</v>
      </c>
      <c r="H59">
        <v>5.83</v>
      </c>
      <c r="I59" s="5">
        <v>5.95</v>
      </c>
      <c r="J59" s="5">
        <v>6.35</v>
      </c>
      <c r="K59" s="5">
        <v>6.81</v>
      </c>
      <c r="L59">
        <v>7.23</v>
      </c>
      <c r="M59" s="14">
        <v>7.49</v>
      </c>
      <c r="N59">
        <v>3.3930143840142288</v>
      </c>
      <c r="O59">
        <v>7.8765191110281602E-2</v>
      </c>
      <c r="P59" s="2"/>
      <c r="T59" s="5">
        <v>7.39</v>
      </c>
      <c r="AK59">
        <v>2.34984194914803E-2</v>
      </c>
      <c r="AL59">
        <v>2.4496544838296001E-2</v>
      </c>
      <c r="AM59">
        <v>0.53105667105416698</v>
      </c>
    </row>
    <row r="60" spans="1:39" x14ac:dyDescent="0.35">
      <c r="A60" s="4">
        <f t="shared" si="2"/>
        <v>1987</v>
      </c>
      <c r="B60">
        <v>0.18526528258362168</v>
      </c>
      <c r="C60">
        <v>0.17671774592189818</v>
      </c>
      <c r="D60">
        <f t="shared" si="3"/>
        <v>8.5475366617235038E-3</v>
      </c>
      <c r="E60">
        <v>3.4183617707165936E-2</v>
      </c>
      <c r="F60">
        <v>2.4255019764821917E-2</v>
      </c>
      <c r="H60">
        <v>5.86</v>
      </c>
      <c r="I60" s="5">
        <v>7.1</v>
      </c>
      <c r="J60" s="5">
        <v>7.77</v>
      </c>
      <c r="K60" s="5">
        <v>8.33</v>
      </c>
      <c r="L60">
        <v>8.83</v>
      </c>
      <c r="M60" s="14">
        <v>8.9499999999999993</v>
      </c>
      <c r="N60">
        <v>3.2999129729348922</v>
      </c>
      <c r="O60">
        <v>8.0616663635622934E-2</v>
      </c>
      <c r="P60" s="2"/>
      <c r="T60" s="5">
        <v>8.89</v>
      </c>
      <c r="AK60">
        <v>2.05938413300071E-2</v>
      </c>
      <c r="AL60">
        <v>2.97285130328909E-2</v>
      </c>
      <c r="AM60">
        <v>0.25572905173718902</v>
      </c>
    </row>
    <row r="61" spans="1:39" x14ac:dyDescent="0.35">
      <c r="A61" s="4">
        <f t="shared" si="2"/>
        <v>1988</v>
      </c>
      <c r="B61">
        <v>0.1837903903445115</v>
      </c>
      <c r="C61">
        <v>0.17223665113436715</v>
      </c>
      <c r="D61">
        <f t="shared" si="3"/>
        <v>1.1553739210144354E-2</v>
      </c>
      <c r="E61">
        <v>4.086290247266966E-2</v>
      </c>
      <c r="F61">
        <v>3.4721041311629008E-2</v>
      </c>
      <c r="H61">
        <v>8.3699999999999992</v>
      </c>
      <c r="I61" s="5">
        <v>9.02</v>
      </c>
      <c r="J61" s="5">
        <v>9.14</v>
      </c>
      <c r="K61" s="5">
        <v>9.14</v>
      </c>
      <c r="L61">
        <v>9.14</v>
      </c>
      <c r="M61" s="14">
        <v>9</v>
      </c>
      <c r="N61">
        <v>3.2531265328020367</v>
      </c>
      <c r="O61">
        <v>0.17194640858370186</v>
      </c>
      <c r="P61" s="2"/>
      <c r="T61" s="5">
        <v>9.07</v>
      </c>
      <c r="AK61">
        <v>2.52876638791814E-2</v>
      </c>
      <c r="AL61">
        <v>4.7782809499728102E-2</v>
      </c>
      <c r="AM61">
        <v>0.172220647896448</v>
      </c>
    </row>
    <row r="62" spans="1:39" x14ac:dyDescent="0.35">
      <c r="A62" s="4">
        <f t="shared" si="2"/>
        <v>1989</v>
      </c>
      <c r="B62">
        <v>0.18478800340328982</v>
      </c>
      <c r="C62">
        <v>0.16980998298355074</v>
      </c>
      <c r="D62">
        <f t="shared" si="3"/>
        <v>1.4978020419739085E-2</v>
      </c>
      <c r="E62">
        <v>3.609053128125872E-2</v>
      </c>
      <c r="F62">
        <v>3.8442942616349285E-2</v>
      </c>
      <c r="H62">
        <v>7.8</v>
      </c>
      <c r="I62" s="5">
        <v>7.76</v>
      </c>
      <c r="J62" s="5">
        <v>7.87</v>
      </c>
      <c r="K62" s="5">
        <v>7.86</v>
      </c>
      <c r="L62">
        <v>7.93</v>
      </c>
      <c r="M62" s="14">
        <v>7.98</v>
      </c>
      <c r="N62">
        <v>3.41972702062623</v>
      </c>
      <c r="O62">
        <v>4.8926766908235116E-2</v>
      </c>
      <c r="P62" s="2"/>
      <c r="T62" s="5">
        <v>7.96</v>
      </c>
      <c r="AK62">
        <v>3.8533842850463899E-2</v>
      </c>
      <c r="AL62">
        <v>3.6508990125339098E-2</v>
      </c>
      <c r="AM62">
        <v>0.203417316668183</v>
      </c>
    </row>
    <row r="63" spans="1:39" x14ac:dyDescent="0.35">
      <c r="A63" s="4">
        <f t="shared" si="2"/>
        <v>1990</v>
      </c>
      <c r="B63">
        <v>0.18238835505022552</v>
      </c>
      <c r="C63">
        <v>0.17252771209605744</v>
      </c>
      <c r="D63">
        <f t="shared" si="3"/>
        <v>9.8606429541680807E-3</v>
      </c>
      <c r="E63">
        <v>1.8528843657062311E-2</v>
      </c>
      <c r="F63">
        <v>3.6893923204049273E-2</v>
      </c>
      <c r="H63">
        <v>6.63</v>
      </c>
      <c r="I63" s="5">
        <v>6.82</v>
      </c>
      <c r="J63" s="5">
        <v>7.15</v>
      </c>
      <c r="K63" s="5">
        <v>7.68</v>
      </c>
      <c r="L63">
        <v>8.08</v>
      </c>
      <c r="M63" s="14">
        <v>8.26</v>
      </c>
      <c r="N63">
        <v>3.306604157497071</v>
      </c>
      <c r="O63">
        <v>1.4689288220624829E-2</v>
      </c>
      <c r="P63" s="2"/>
      <c r="T63" s="5">
        <v>8.17</v>
      </c>
      <c r="AK63">
        <v>4.4732851932517401E-2</v>
      </c>
      <c r="AL63">
        <v>2.88290281328735E-2</v>
      </c>
      <c r="AM63">
        <v>-4.7732767681281901E-2</v>
      </c>
    </row>
    <row r="64" spans="1:39" x14ac:dyDescent="0.35">
      <c r="A64" s="4">
        <f t="shared" si="2"/>
        <v>1991</v>
      </c>
      <c r="B64">
        <v>0.17989314886084992</v>
      </c>
      <c r="C64">
        <v>0.17505399392669818</v>
      </c>
      <c r="D64">
        <f t="shared" si="3"/>
        <v>4.8391549341517404E-3</v>
      </c>
      <c r="E64">
        <v>-9.1307688398156728E-4</v>
      </c>
      <c r="F64">
        <v>3.3090885210560472E-2</v>
      </c>
      <c r="H64">
        <v>3.96</v>
      </c>
      <c r="I64" s="5">
        <v>4.12</v>
      </c>
      <c r="J64" s="5">
        <v>4.7699999999999996</v>
      </c>
      <c r="K64" s="5">
        <v>5.93</v>
      </c>
      <c r="L64">
        <v>6.71</v>
      </c>
      <c r="M64" s="14">
        <v>7.41</v>
      </c>
      <c r="N64">
        <v>3.5867689443893567</v>
      </c>
      <c r="O64">
        <v>-2.1068415178463598E-2</v>
      </c>
      <c r="P64" s="2"/>
      <c r="T64" s="5">
        <v>7.06</v>
      </c>
      <c r="AK64">
        <v>4.4888427038302398E-2</v>
      </c>
      <c r="AL64">
        <v>1.7214947478810302E-2</v>
      </c>
      <c r="AM64">
        <v>5.0307298978706803E-2</v>
      </c>
    </row>
    <row r="65" spans="1:39" x14ac:dyDescent="0.35">
      <c r="A65" s="4">
        <f t="shared" si="2"/>
        <v>1992</v>
      </c>
      <c r="B65">
        <v>0.17704706838642395</v>
      </c>
      <c r="C65">
        <v>0.1846847537689984</v>
      </c>
      <c r="D65">
        <f t="shared" si="3"/>
        <v>-7.6376853825744495E-3</v>
      </c>
      <c r="E65">
        <v>3.4589043187618351E-2</v>
      </c>
      <c r="F65">
        <v>2.2563055553245448E-2</v>
      </c>
      <c r="H65">
        <v>3.15</v>
      </c>
      <c r="I65" s="5">
        <v>3.61</v>
      </c>
      <c r="J65" s="5">
        <v>4.5599999999999996</v>
      </c>
      <c r="K65" s="5">
        <v>6.04</v>
      </c>
      <c r="L65">
        <v>6.7</v>
      </c>
      <c r="M65" s="14">
        <v>7.4</v>
      </c>
      <c r="N65">
        <v>3.6501600969847874</v>
      </c>
      <c r="O65">
        <v>-3.9380940824058717E-3</v>
      </c>
      <c r="P65" s="2"/>
      <c r="T65" s="5">
        <v>7.05</v>
      </c>
      <c r="AK65">
        <v>3.2737673191460301E-2</v>
      </c>
      <c r="AL65">
        <v>8.5807334465778894E-3</v>
      </c>
      <c r="AM65">
        <v>-0.15677320731503999</v>
      </c>
    </row>
    <row r="66" spans="1:39" x14ac:dyDescent="0.35">
      <c r="A66" s="4">
        <f t="shared" si="2"/>
        <v>1993</v>
      </c>
      <c r="B66">
        <v>0.17948269326101535</v>
      </c>
      <c r="C66">
        <v>0.18314233225439591</v>
      </c>
      <c r="D66">
        <f t="shared" ref="D66:D93" si="4">B66-C66</f>
        <v>-3.6596389933805651E-3</v>
      </c>
      <c r="E66">
        <v>2.713749252306652E-2</v>
      </c>
      <c r="F66">
        <v>2.3445459604615415E-2</v>
      </c>
      <c r="H66">
        <v>3.07</v>
      </c>
      <c r="I66" s="5">
        <v>3.63</v>
      </c>
      <c r="J66" s="5">
        <v>4.25</v>
      </c>
      <c r="K66" s="5">
        <v>5.21</v>
      </c>
      <c r="L66">
        <v>5.83</v>
      </c>
      <c r="M66" s="14">
        <v>6.35</v>
      </c>
      <c r="N66">
        <v>3.7112472060500097</v>
      </c>
      <c r="O66">
        <v>2.3465314059545578E-2</v>
      </c>
      <c r="P66" s="2"/>
      <c r="T66" s="5">
        <v>6.48</v>
      </c>
      <c r="AK66">
        <v>2.65310520003996E-2</v>
      </c>
      <c r="AL66">
        <v>-3.7759230436719199E-3</v>
      </c>
      <c r="AM66">
        <v>0.30446750435553399</v>
      </c>
    </row>
    <row r="67" spans="1:39" x14ac:dyDescent="0.35">
      <c r="A67" s="4">
        <f t="shared" si="2"/>
        <v>1994</v>
      </c>
      <c r="B67">
        <v>0.18241574267208255</v>
      </c>
      <c r="C67">
        <v>0.17624053134262818</v>
      </c>
      <c r="D67">
        <f t="shared" si="4"/>
        <v>6.1752113294543665E-3</v>
      </c>
      <c r="E67">
        <v>3.9525733516754258E-2</v>
      </c>
      <c r="F67">
        <v>2.1090311654058169E-2</v>
      </c>
      <c r="H67">
        <v>5.68</v>
      </c>
      <c r="I67" s="5">
        <v>7.2</v>
      </c>
      <c r="J67" s="5">
        <v>7.69</v>
      </c>
      <c r="K67" s="5">
        <v>7.83</v>
      </c>
      <c r="L67">
        <v>7.84</v>
      </c>
      <c r="M67" s="14">
        <v>7.89</v>
      </c>
      <c r="N67">
        <v>3.6479010045982387</v>
      </c>
      <c r="O67">
        <v>3.0553398430316934E-2</v>
      </c>
      <c r="P67" s="2"/>
      <c r="T67" s="5">
        <v>8.02</v>
      </c>
      <c r="AK67">
        <v>1.8613906295067401E-2</v>
      </c>
      <c r="AL67">
        <v>1.9268010760672701E-2</v>
      </c>
      <c r="AM67">
        <v>9.3792059622690396E-2</v>
      </c>
    </row>
    <row r="68" spans="1:39" x14ac:dyDescent="0.35">
      <c r="A68" s="4">
        <f t="shared" ref="A68:A91" si="5">A67+1</f>
        <v>1995</v>
      </c>
      <c r="B68">
        <v>0.18553084545204657</v>
      </c>
      <c r="C68">
        <v>0.17384190478683717</v>
      </c>
      <c r="D68">
        <f t="shared" si="4"/>
        <v>1.1688940665209396E-2</v>
      </c>
      <c r="E68">
        <v>2.6458945905894815E-2</v>
      </c>
      <c r="F68">
        <v>2.0780005037393856E-2</v>
      </c>
      <c r="H68">
        <v>5.0999999999999996</v>
      </c>
      <c r="I68" s="5">
        <v>5.18</v>
      </c>
      <c r="J68" s="5">
        <v>5.18</v>
      </c>
      <c r="K68" s="5">
        <v>5.38</v>
      </c>
      <c r="L68">
        <v>5.58</v>
      </c>
      <c r="M68" s="14">
        <v>5.96</v>
      </c>
      <c r="N68">
        <v>3.8600625889032867</v>
      </c>
      <c r="O68">
        <v>6.9930908655028282E-2</v>
      </c>
      <c r="P68" s="2"/>
      <c r="T68" s="5">
        <v>6.01</v>
      </c>
      <c r="AK68">
        <v>1.73146392849707E-2</v>
      </c>
      <c r="AL68">
        <v>2.19224989312676E-2</v>
      </c>
      <c r="AM68">
        <v>4.6206304037548003E-2</v>
      </c>
    </row>
    <row r="69" spans="1:39" x14ac:dyDescent="0.35">
      <c r="A69" s="4">
        <f t="shared" si="5"/>
        <v>1996</v>
      </c>
      <c r="B69">
        <v>0.19029864612106873</v>
      </c>
      <c r="C69">
        <v>0.17072747767276511</v>
      </c>
      <c r="D69">
        <f t="shared" si="4"/>
        <v>1.9571168448303616E-2</v>
      </c>
      <c r="E69">
        <v>3.7062249449925311E-2</v>
      </c>
      <c r="F69">
        <v>1.8116962463391673E-2</v>
      </c>
      <c r="H69">
        <v>5.21</v>
      </c>
      <c r="I69" s="5">
        <v>5.51</v>
      </c>
      <c r="J69" s="5">
        <v>5.88</v>
      </c>
      <c r="K69" s="5">
        <v>6.21</v>
      </c>
      <c r="L69">
        <v>6.43</v>
      </c>
      <c r="M69" s="14">
        <v>6.65</v>
      </c>
      <c r="N69">
        <v>3.9883431847306361</v>
      </c>
      <c r="O69">
        <v>4.4004572785843875E-2</v>
      </c>
      <c r="P69" s="2"/>
      <c r="T69" s="5">
        <v>6.73</v>
      </c>
      <c r="AK69">
        <v>1.53813145873222E-2</v>
      </c>
      <c r="AL69">
        <v>1.7394067181296401E-2</v>
      </c>
      <c r="AM69">
        <v>0.15390569576944399</v>
      </c>
    </row>
    <row r="70" spans="1:39" x14ac:dyDescent="0.35">
      <c r="A70" s="4">
        <f t="shared" si="5"/>
        <v>1997</v>
      </c>
      <c r="B70">
        <v>0.19439003917179631</v>
      </c>
      <c r="C70">
        <v>0.16494124230554003</v>
      </c>
      <c r="D70">
        <f t="shared" si="4"/>
        <v>2.9448796866256288E-2</v>
      </c>
      <c r="E70">
        <v>4.3440133363823463E-2</v>
      </c>
      <c r="F70">
        <v>1.717647342224371E-2</v>
      </c>
      <c r="H70">
        <v>5.36</v>
      </c>
      <c r="I70" s="5">
        <v>5.51</v>
      </c>
      <c r="J70" s="5">
        <v>5.66</v>
      </c>
      <c r="K70" s="5">
        <v>5.71</v>
      </c>
      <c r="L70">
        <v>5.75</v>
      </c>
      <c r="M70" s="14">
        <v>5.93</v>
      </c>
      <c r="N70">
        <v>4.1924665750686216</v>
      </c>
      <c r="O70">
        <v>4.4469924554786364E-2</v>
      </c>
      <c r="P70" s="2"/>
      <c r="T70" s="5">
        <v>6.02</v>
      </c>
      <c r="AK70">
        <v>1.6012008380083601E-2</v>
      </c>
      <c r="AL70">
        <v>2.1197469618879399E-2</v>
      </c>
      <c r="AM70">
        <v>8.9571392518833601E-2</v>
      </c>
    </row>
    <row r="71" spans="1:39" x14ac:dyDescent="0.35">
      <c r="A71" s="4">
        <f t="shared" si="5"/>
        <v>1998</v>
      </c>
      <c r="B71">
        <v>0.19748863485898399</v>
      </c>
      <c r="C71">
        <v>0.15891336010945847</v>
      </c>
      <c r="D71">
        <f t="shared" si="4"/>
        <v>3.8575274749525518E-2</v>
      </c>
      <c r="E71">
        <v>4.406261126132005E-2</v>
      </c>
      <c r="F71">
        <v>1.0961357728705323E-2</v>
      </c>
      <c r="H71">
        <v>4.4800000000000004</v>
      </c>
      <c r="I71" s="5">
        <v>4.53</v>
      </c>
      <c r="J71" s="5">
        <v>4.54</v>
      </c>
      <c r="K71" s="5">
        <v>4.5599999999999996</v>
      </c>
      <c r="L71">
        <v>4.6500000000000004</v>
      </c>
      <c r="M71" s="14">
        <v>5.09</v>
      </c>
      <c r="N71">
        <v>4.3388740617797925</v>
      </c>
      <c r="O71">
        <v>4.0171520903479717E-2</v>
      </c>
      <c r="P71" s="2"/>
      <c r="T71" s="5">
        <v>5.39</v>
      </c>
      <c r="AK71">
        <v>9.8017761418845405E-3</v>
      </c>
      <c r="AL71">
        <v>1.3114298507405401E-2</v>
      </c>
      <c r="AM71">
        <v>0.17969273789083601</v>
      </c>
    </row>
    <row r="72" spans="1:39" x14ac:dyDescent="0.35">
      <c r="A72" s="4">
        <f t="shared" si="5"/>
        <v>1999</v>
      </c>
      <c r="B72">
        <v>0.19789849655286981</v>
      </c>
      <c r="C72">
        <v>0.155858044688097</v>
      </c>
      <c r="D72">
        <f t="shared" si="4"/>
        <v>4.2040451864772815E-2</v>
      </c>
      <c r="E72">
        <v>4.6927665712255262E-2</v>
      </c>
      <c r="F72">
        <v>1.3902039845262948E-2</v>
      </c>
      <c r="H72">
        <v>5.33</v>
      </c>
      <c r="I72" s="5">
        <v>5.98</v>
      </c>
      <c r="J72" s="5">
        <v>6.24</v>
      </c>
      <c r="K72" s="5">
        <v>6.36</v>
      </c>
      <c r="L72">
        <v>6.45</v>
      </c>
      <c r="M72" s="14">
        <v>6.48</v>
      </c>
      <c r="N72">
        <v>4.4774301969019827</v>
      </c>
      <c r="O72">
        <v>7.4132791909995555E-2</v>
      </c>
      <c r="P72" s="2"/>
      <c r="T72" s="5">
        <v>6.83</v>
      </c>
      <c r="AK72">
        <v>6.6249572322534603E-3</v>
      </c>
      <c r="AL72">
        <v>1.5919872663702501E-2</v>
      </c>
      <c r="AM72">
        <v>0.245642868997726</v>
      </c>
    </row>
    <row r="73" spans="1:39" x14ac:dyDescent="0.35">
      <c r="A73" s="4">
        <f t="shared" si="5"/>
        <v>2000</v>
      </c>
      <c r="B73">
        <v>0.20171690566773975</v>
      </c>
      <c r="C73">
        <v>0.15346795434591745</v>
      </c>
      <c r="D73">
        <f t="shared" si="4"/>
        <v>4.8248951321822303E-2</v>
      </c>
      <c r="E73">
        <v>3.9759397766248483E-2</v>
      </c>
      <c r="F73">
        <v>2.260803539633649E-2</v>
      </c>
      <c r="H73">
        <v>5.89</v>
      </c>
      <c r="I73" s="5">
        <v>5.32</v>
      </c>
      <c r="J73" s="5">
        <v>5.1100000000000003</v>
      </c>
      <c r="K73" s="5">
        <v>4.99</v>
      </c>
      <c r="L73">
        <v>5.12</v>
      </c>
      <c r="M73" s="14">
        <v>5.46</v>
      </c>
      <c r="N73">
        <v>4.4092782912727575</v>
      </c>
      <c r="O73">
        <v>-6.1657964326322916E-2</v>
      </c>
      <c r="P73" s="2"/>
      <c r="T73" s="5">
        <v>5.59</v>
      </c>
      <c r="AK73">
        <v>1.0101080559630099E-2</v>
      </c>
      <c r="AL73">
        <v>3.1919926010787199E-2</v>
      </c>
      <c r="AM73">
        <v>-7.1937330545374406E-2</v>
      </c>
    </row>
    <row r="74" spans="1:39" x14ac:dyDescent="0.35">
      <c r="A74" s="4">
        <f t="shared" si="5"/>
        <v>2001</v>
      </c>
      <c r="B74">
        <v>0.19206380706678386</v>
      </c>
      <c r="C74">
        <v>0.16106748315519898</v>
      </c>
      <c r="D74">
        <f t="shared" si="4"/>
        <v>3.0996323911584883E-2</v>
      </c>
      <c r="E74">
        <v>8.984738820677407E-3</v>
      </c>
      <c r="F74">
        <v>2.2784993805896825E-2</v>
      </c>
      <c r="H74">
        <v>1.74</v>
      </c>
      <c r="I74" s="5">
        <v>2.17</v>
      </c>
      <c r="J74" s="5">
        <v>3.07</v>
      </c>
      <c r="K74" s="5">
        <v>4.38</v>
      </c>
      <c r="L74">
        <v>5.07</v>
      </c>
      <c r="M74" s="14">
        <v>5.48</v>
      </c>
      <c r="N74">
        <v>4.2980081038322524</v>
      </c>
      <c r="O74">
        <v>-2.1664922065284274E-2</v>
      </c>
      <c r="P74" s="2"/>
      <c r="T74" s="5">
        <v>5.74</v>
      </c>
      <c r="AK74">
        <v>1.30361821438415E-2</v>
      </c>
      <c r="AL74">
        <v>1.20079554240705E-2</v>
      </c>
      <c r="AM74">
        <v>-0.25564968052619302</v>
      </c>
    </row>
    <row r="75" spans="1:39" x14ac:dyDescent="0.35">
      <c r="A75" s="4">
        <f t="shared" si="5"/>
        <v>2002</v>
      </c>
      <c r="B75">
        <v>0.17118518450741599</v>
      </c>
      <c r="C75">
        <v>0.16953820534170241</v>
      </c>
      <c r="D75">
        <f t="shared" si="4"/>
        <v>1.6469791657135746E-3</v>
      </c>
      <c r="E75">
        <v>1.7373254235672597E-2</v>
      </c>
      <c r="F75">
        <v>1.4910707957139557E-2</v>
      </c>
      <c r="H75">
        <v>1.22</v>
      </c>
      <c r="I75" s="5">
        <v>1.32</v>
      </c>
      <c r="J75" s="5">
        <v>1.61</v>
      </c>
      <c r="K75" s="5">
        <v>2.78</v>
      </c>
      <c r="L75">
        <v>3.83</v>
      </c>
      <c r="M75" s="14">
        <v>5.03</v>
      </c>
      <c r="N75">
        <v>4.0317025836898868</v>
      </c>
      <c r="O75">
        <v>1.6800243413614618E-2</v>
      </c>
      <c r="P75" s="2"/>
      <c r="T75" s="5">
        <v>4.83</v>
      </c>
      <c r="AK75">
        <v>1.1259292507903799E-2</v>
      </c>
      <c r="AL75">
        <v>4.6769053996263202E-3</v>
      </c>
      <c r="AM75">
        <v>-0.111516478512519</v>
      </c>
    </row>
    <row r="76" spans="1:39" x14ac:dyDescent="0.35">
      <c r="A76" s="4">
        <f t="shared" si="5"/>
        <v>2003</v>
      </c>
      <c r="B76">
        <v>0.16550429886963733</v>
      </c>
      <c r="C76">
        <v>0.17622310478767511</v>
      </c>
      <c r="D76">
        <f t="shared" si="4"/>
        <v>-1.0718805918037783E-2</v>
      </c>
      <c r="E76">
        <v>2.7304613925662302E-2</v>
      </c>
      <c r="F76">
        <v>1.9823683970946249E-2</v>
      </c>
      <c r="H76">
        <v>0.95</v>
      </c>
      <c r="I76" s="5">
        <v>1.26</v>
      </c>
      <c r="J76" s="5">
        <v>1.84</v>
      </c>
      <c r="K76" s="5">
        <v>3.25</v>
      </c>
      <c r="L76">
        <v>4.2699999999999996</v>
      </c>
      <c r="M76" s="14">
        <v>5.23</v>
      </c>
      <c r="N76">
        <v>4.1780152583061216</v>
      </c>
      <c r="O76">
        <v>0.12317324326698628</v>
      </c>
      <c r="P76" s="2"/>
      <c r="T76" s="5">
        <v>5.0999999999999996</v>
      </c>
      <c r="AF76" s="14">
        <v>1.22</v>
      </c>
      <c r="AG76" s="14">
        <v>1.64</v>
      </c>
      <c r="AH76" s="14">
        <v>2</v>
      </c>
      <c r="AK76">
        <v>1.31837461849456E-2</v>
      </c>
      <c r="AL76">
        <v>8.5458561737716699E-3</v>
      </c>
      <c r="AM76">
        <v>0.31209560221794702</v>
      </c>
    </row>
    <row r="77" spans="1:39" x14ac:dyDescent="0.35">
      <c r="A77" s="4">
        <f t="shared" si="5"/>
        <v>2004</v>
      </c>
      <c r="B77">
        <v>0.16600366696133317</v>
      </c>
      <c r="C77">
        <v>0.1745571816782896</v>
      </c>
      <c r="D77">
        <f t="shared" si="4"/>
        <v>-8.553514716956423E-3</v>
      </c>
      <c r="E77">
        <v>3.7930156789968805E-2</v>
      </c>
      <c r="F77">
        <v>2.6357383611784968E-2</v>
      </c>
      <c r="H77">
        <v>2.2200000000000002</v>
      </c>
      <c r="I77" s="5">
        <v>2.75</v>
      </c>
      <c r="J77" s="5">
        <v>3.08</v>
      </c>
      <c r="K77" s="5">
        <v>3.63</v>
      </c>
      <c r="L77">
        <v>4.24</v>
      </c>
      <c r="M77" s="14">
        <v>4.8600000000000003</v>
      </c>
      <c r="N77">
        <v>4.1243302850308492</v>
      </c>
      <c r="O77">
        <v>0.15783190214125395</v>
      </c>
      <c r="P77" s="2"/>
      <c r="T77" s="5">
        <v>4.8499999999999996</v>
      </c>
      <c r="AF77" s="14">
        <v>0.99</v>
      </c>
      <c r="AG77" s="14">
        <v>1.28</v>
      </c>
      <c r="AH77" s="14">
        <v>1.68</v>
      </c>
      <c r="AK77">
        <v>1.33644407345168E-2</v>
      </c>
      <c r="AL77">
        <v>1.8606392997593899E-2</v>
      </c>
      <c r="AM77">
        <v>0.24931035426100601</v>
      </c>
    </row>
    <row r="78" spans="1:39" x14ac:dyDescent="0.35">
      <c r="A78" s="4">
        <f t="shared" si="5"/>
        <v>2005</v>
      </c>
      <c r="B78">
        <v>0.17675164120498188</v>
      </c>
      <c r="C78">
        <v>0.17421314191054665</v>
      </c>
      <c r="D78">
        <f t="shared" si="4"/>
        <v>2.5384992944352258E-3</v>
      </c>
      <c r="E78">
        <v>3.4381612090673919E-2</v>
      </c>
      <c r="F78">
        <v>3.073379791359887E-2</v>
      </c>
      <c r="H78">
        <v>4.08</v>
      </c>
      <c r="I78" s="5">
        <v>4.38</v>
      </c>
      <c r="J78" s="5">
        <v>4.41</v>
      </c>
      <c r="K78" s="5">
        <v>4.3499999999999996</v>
      </c>
      <c r="L78">
        <v>4.3899999999999997</v>
      </c>
      <c r="M78" s="14">
        <v>4.51</v>
      </c>
      <c r="N78">
        <v>3.9631186616485468</v>
      </c>
      <c r="O78">
        <v>0.21503547683037741</v>
      </c>
      <c r="P78" s="2"/>
      <c r="T78" s="5">
        <v>4.6100000000000003</v>
      </c>
      <c r="AF78" s="14">
        <v>2.0499999999999998</v>
      </c>
      <c r="AG78" s="14">
        <v>2.1</v>
      </c>
      <c r="AH78" s="14">
        <v>2.06</v>
      </c>
      <c r="AI78" s="14">
        <v>2.04</v>
      </c>
      <c r="AK78">
        <v>1.44026150965523E-2</v>
      </c>
      <c r="AL78">
        <v>1.34298020563601E-2</v>
      </c>
      <c r="AM78">
        <v>9.57674285923832E-2</v>
      </c>
    </row>
    <row r="79" spans="1:39" x14ac:dyDescent="0.35">
      <c r="A79" s="4">
        <f t="shared" si="5"/>
        <v>2006</v>
      </c>
      <c r="B79">
        <v>0.18376328208691625</v>
      </c>
      <c r="C79">
        <v>0.17426677089666753</v>
      </c>
      <c r="D79">
        <f t="shared" si="4"/>
        <v>9.4965111902487187E-3</v>
      </c>
      <c r="E79">
        <v>2.720022876650674E-2</v>
      </c>
      <c r="F79">
        <v>3.0637954795689204E-2</v>
      </c>
      <c r="H79">
        <v>5.0199999999999996</v>
      </c>
      <c r="I79" s="5">
        <v>5</v>
      </c>
      <c r="J79" s="5">
        <v>4.82</v>
      </c>
      <c r="K79" s="5">
        <v>4.7</v>
      </c>
      <c r="L79">
        <v>4.71</v>
      </c>
      <c r="M79" s="14">
        <v>4.8099999999999996</v>
      </c>
      <c r="N79">
        <v>4.0412805686411382</v>
      </c>
      <c r="O79">
        <v>5.4033397283519628E-2</v>
      </c>
      <c r="P79" s="2"/>
      <c r="T79" s="5">
        <v>4.91</v>
      </c>
      <c r="AF79" s="14">
        <v>2.44</v>
      </c>
      <c r="AG79" s="14">
        <v>2.2799999999999998</v>
      </c>
      <c r="AH79" s="14">
        <v>2.41</v>
      </c>
      <c r="AI79" s="14">
        <v>2.4</v>
      </c>
      <c r="AK79">
        <v>1.7356225068487701E-2</v>
      </c>
      <c r="AL79">
        <v>2.2014306134189799E-2</v>
      </c>
      <c r="AM79">
        <v>0.32427981067872202</v>
      </c>
    </row>
    <row r="80" spans="1:39" x14ac:dyDescent="0.35">
      <c r="A80" s="4">
        <f t="shared" si="5"/>
        <v>2007</v>
      </c>
      <c r="B80">
        <v>0.18434870320984925</v>
      </c>
      <c r="C80">
        <v>0.17566428541819235</v>
      </c>
      <c r="D80">
        <f t="shared" si="4"/>
        <v>8.6844177916569065E-3</v>
      </c>
      <c r="E80">
        <v>1.9870489525589896E-2</v>
      </c>
      <c r="F80">
        <v>2.669887621773448E-2</v>
      </c>
      <c r="H80">
        <v>3.36</v>
      </c>
      <c r="I80" s="5">
        <v>3.34</v>
      </c>
      <c r="J80" s="5">
        <v>3.05</v>
      </c>
      <c r="K80" s="5">
        <v>3.45</v>
      </c>
      <c r="L80">
        <v>4.04</v>
      </c>
      <c r="M80" s="14">
        <v>4.45</v>
      </c>
      <c r="N80">
        <v>3.9617569375268356</v>
      </c>
      <c r="O80">
        <v>0.13192046449419564</v>
      </c>
      <c r="P80" s="2"/>
      <c r="T80" s="5">
        <v>4.5</v>
      </c>
      <c r="AF80" s="14">
        <v>1.18</v>
      </c>
      <c r="AG80" s="14">
        <v>1.62</v>
      </c>
      <c r="AH80" s="14">
        <v>1.73</v>
      </c>
      <c r="AI80" s="14">
        <v>2</v>
      </c>
      <c r="AK80">
        <v>1.6261223269651098E-2</v>
      </c>
      <c r="AL80">
        <v>2.01730751313213E-2</v>
      </c>
      <c r="AM80">
        <v>0.14778077484331001</v>
      </c>
    </row>
    <row r="81" spans="1:39" x14ac:dyDescent="0.35">
      <c r="A81" s="4">
        <f t="shared" si="5"/>
        <v>2008</v>
      </c>
      <c r="B81">
        <v>0.17482176588873316</v>
      </c>
      <c r="C81">
        <v>0.19226941279223286</v>
      </c>
      <c r="D81">
        <f t="shared" si="4"/>
        <v>-1.7447646903499703E-2</v>
      </c>
      <c r="E81">
        <v>1.5756109570004284E-3</v>
      </c>
      <c r="F81">
        <v>1.8647960853857448E-2</v>
      </c>
      <c r="H81">
        <v>0.11</v>
      </c>
      <c r="I81" s="5">
        <v>0.37</v>
      </c>
      <c r="J81" s="5">
        <v>0.76</v>
      </c>
      <c r="K81" s="5">
        <v>1.55</v>
      </c>
      <c r="L81">
        <v>2.25</v>
      </c>
      <c r="M81" s="14">
        <v>2.69</v>
      </c>
      <c r="N81">
        <v>3.4600758508923728</v>
      </c>
      <c r="O81">
        <v>-4.2012121287794222E-3</v>
      </c>
      <c r="P81" s="2"/>
      <c r="T81" s="5">
        <v>3.05</v>
      </c>
      <c r="AF81" s="14">
        <v>1.81</v>
      </c>
      <c r="AG81" s="14">
        <v>1.96</v>
      </c>
      <c r="AH81" s="14">
        <v>2.14</v>
      </c>
      <c r="AI81" s="14">
        <v>2.36</v>
      </c>
      <c r="AK81">
        <v>2.7806322226636201E-2</v>
      </c>
      <c r="AL81">
        <v>-3.87741450427906E-3</v>
      </c>
      <c r="AM81">
        <v>-0.41340388316256999</v>
      </c>
    </row>
    <row r="82" spans="1:39" x14ac:dyDescent="0.35">
      <c r="A82" s="4">
        <f t="shared" si="5"/>
        <v>2009</v>
      </c>
      <c r="B82">
        <v>0.15486148044287579</v>
      </c>
      <c r="C82">
        <v>0.21806038085107851</v>
      </c>
      <c r="D82">
        <f t="shared" si="4"/>
        <v>-6.3198900408202724E-2</v>
      </c>
      <c r="E82">
        <v>-2.6521741778963381E-2</v>
      </c>
      <c r="F82">
        <v>6.5675786177523676E-3</v>
      </c>
      <c r="H82">
        <v>0.06</v>
      </c>
      <c r="I82" s="5">
        <v>0.47</v>
      </c>
      <c r="J82" s="5">
        <v>1.1399999999999999</v>
      </c>
      <c r="K82" s="5">
        <v>2.69</v>
      </c>
      <c r="L82">
        <v>3.85</v>
      </c>
      <c r="M82" s="14">
        <v>4.63</v>
      </c>
      <c r="N82">
        <v>3.8919356476155831</v>
      </c>
      <c r="O82">
        <v>-0.18651228095207281</v>
      </c>
      <c r="P82" s="2"/>
      <c r="T82" s="5">
        <v>4.58</v>
      </c>
      <c r="AF82" s="14">
        <v>0.56000000000000005</v>
      </c>
      <c r="AG82" s="14">
        <v>0.86</v>
      </c>
      <c r="AH82" s="14">
        <v>1.48</v>
      </c>
      <c r="AI82" s="14">
        <v>2.0299999999999998</v>
      </c>
      <c r="AK82">
        <v>1.9814189598582302E-3</v>
      </c>
      <c r="AL82">
        <v>-4.6763261881964502E-2</v>
      </c>
      <c r="AM82">
        <v>0.226565947456635</v>
      </c>
    </row>
    <row r="83" spans="1:39" x14ac:dyDescent="0.35">
      <c r="A83" s="4">
        <f t="shared" si="5"/>
        <v>2010</v>
      </c>
      <c r="B83">
        <v>0.1625556515383082</v>
      </c>
      <c r="C83">
        <v>0.22691208718187256</v>
      </c>
      <c r="D83">
        <f t="shared" si="4"/>
        <v>-6.4356435643564358E-2</v>
      </c>
      <c r="E83">
        <v>2.6696185269812212E-2</v>
      </c>
      <c r="F83">
        <v>1.1978195656316082E-2</v>
      </c>
      <c r="H83">
        <v>0.12</v>
      </c>
      <c r="I83" s="5">
        <v>0.28999999999999998</v>
      </c>
      <c r="J83" s="5">
        <v>0.61</v>
      </c>
      <c r="K83" s="5">
        <v>2.0099999999999998</v>
      </c>
      <c r="L83">
        <v>3.38</v>
      </c>
      <c r="M83" s="14">
        <v>4.34</v>
      </c>
      <c r="N83">
        <v>3.9680184753685457</v>
      </c>
      <c r="O83">
        <v>6.7047759731780454E-2</v>
      </c>
      <c r="P83" s="2"/>
      <c r="T83" s="5">
        <v>4.13</v>
      </c>
      <c r="AF83" s="14">
        <v>0.18</v>
      </c>
      <c r="AG83" s="14">
        <v>0.65</v>
      </c>
      <c r="AH83" s="14">
        <v>1</v>
      </c>
      <c r="AI83" s="14">
        <v>1.59</v>
      </c>
      <c r="AJ83" s="14">
        <v>1.86</v>
      </c>
      <c r="AK83">
        <v>1.1562997795528799E-2</v>
      </c>
      <c r="AL83">
        <v>2.44862852401708E-2</v>
      </c>
      <c r="AM83">
        <v>6.2728289180470007E-2</v>
      </c>
    </row>
    <row r="84" spans="1:39" x14ac:dyDescent="0.35">
      <c r="A84" s="4">
        <f t="shared" si="5"/>
        <v>2011</v>
      </c>
      <c r="B84">
        <v>0.16497753161919779</v>
      </c>
      <c r="C84">
        <v>0.2185618954210658</v>
      </c>
      <c r="D84">
        <f t="shared" si="4"/>
        <v>-5.3584363801868012E-2</v>
      </c>
      <c r="E84">
        <v>1.5426969167858573E-2</v>
      </c>
      <c r="F84">
        <v>2.051317032890676E-2</v>
      </c>
      <c r="H84">
        <v>0.02</v>
      </c>
      <c r="I84" s="5">
        <v>0.12</v>
      </c>
      <c r="J84" s="5">
        <v>0.25</v>
      </c>
      <c r="K84" s="5">
        <v>0.83</v>
      </c>
      <c r="L84">
        <v>1.89</v>
      </c>
      <c r="M84" s="14">
        <v>2.89</v>
      </c>
      <c r="N84">
        <v>3.839305830260114</v>
      </c>
      <c r="O84">
        <v>9.7623107093338365E-2</v>
      </c>
      <c r="P84" s="2"/>
      <c r="T84" s="5">
        <v>2.57</v>
      </c>
      <c r="AF84" s="14">
        <v>-0.76</v>
      </c>
      <c r="AG84" s="14">
        <v>-0.44</v>
      </c>
      <c r="AH84" s="14">
        <v>-7.0000000000000007E-2</v>
      </c>
      <c r="AI84" s="14">
        <v>0.53</v>
      </c>
      <c r="AJ84" s="14">
        <v>0.78</v>
      </c>
      <c r="AK84">
        <v>2.0060222531329001E-2</v>
      </c>
      <c r="AL84">
        <v>1.3323505692357801E-2</v>
      </c>
      <c r="AM84">
        <v>-0.11104711698934</v>
      </c>
    </row>
    <row r="85" spans="1:39" x14ac:dyDescent="0.35">
      <c r="A85" s="4">
        <f t="shared" si="5"/>
        <v>2012</v>
      </c>
      <c r="B85">
        <v>0.16616217546450104</v>
      </c>
      <c r="C85">
        <v>0.20749969238341331</v>
      </c>
      <c r="D85">
        <f t="shared" si="4"/>
        <v>-4.133751691891227E-2</v>
      </c>
      <c r="E85">
        <v>2.2485400630004371E-2</v>
      </c>
      <c r="F85">
        <v>1.8601948399662227E-2</v>
      </c>
      <c r="H85">
        <v>0.05</v>
      </c>
      <c r="I85" s="5">
        <v>0.16</v>
      </c>
      <c r="J85" s="5">
        <v>0.25</v>
      </c>
      <c r="K85" s="5">
        <v>0.72</v>
      </c>
      <c r="L85">
        <v>1.78</v>
      </c>
      <c r="M85" s="14">
        <v>2.95</v>
      </c>
      <c r="N85">
        <v>3.8248671680465587</v>
      </c>
      <c r="O85">
        <v>0.13735997803794847</v>
      </c>
      <c r="P85" s="2"/>
      <c r="T85" s="5">
        <v>2.54</v>
      </c>
      <c r="AF85" s="14">
        <v>-1.37</v>
      </c>
      <c r="AG85" s="14">
        <v>-1.1299999999999999</v>
      </c>
      <c r="AH85" s="14">
        <v>-0.67</v>
      </c>
      <c r="AI85" s="14">
        <v>0.15</v>
      </c>
      <c r="AJ85" s="14">
        <v>0.41</v>
      </c>
      <c r="AK85">
        <v>1.6701021714905499E-2</v>
      </c>
      <c r="AL85">
        <v>3.6825250494363601E-4</v>
      </c>
      <c r="AM85">
        <v>0.118969988348998</v>
      </c>
    </row>
    <row r="86" spans="1:39" x14ac:dyDescent="0.35">
      <c r="A86" s="4">
        <f t="shared" si="5"/>
        <v>2013</v>
      </c>
      <c r="B86">
        <v>0.18640163389379688</v>
      </c>
      <c r="C86">
        <v>0.20058539944903583</v>
      </c>
      <c r="D86">
        <f t="shared" si="4"/>
        <v>-1.4183765555238953E-2</v>
      </c>
      <c r="E86">
        <v>1.8072629094849191E-2</v>
      </c>
      <c r="F86">
        <v>1.7535353089059846E-2</v>
      </c>
      <c r="H86">
        <v>7.0000000000000007E-2</v>
      </c>
      <c r="I86" s="5">
        <v>0.13</v>
      </c>
      <c r="J86" s="5">
        <v>0.38</v>
      </c>
      <c r="K86" s="5">
        <v>1.75</v>
      </c>
      <c r="L86">
        <v>3.04</v>
      </c>
      <c r="M86" s="14">
        <v>3.96</v>
      </c>
      <c r="N86">
        <v>3.8560165777462463</v>
      </c>
      <c r="O86">
        <v>0.21559799376001862</v>
      </c>
      <c r="P86" s="2"/>
      <c r="T86" s="5">
        <v>3.72</v>
      </c>
      <c r="AF86" s="14">
        <v>0.06</v>
      </c>
      <c r="AG86" s="14">
        <v>0.47</v>
      </c>
      <c r="AH86" s="14">
        <v>0.8</v>
      </c>
      <c r="AI86" s="14">
        <v>1.36</v>
      </c>
      <c r="AJ86" s="14">
        <v>1.64</v>
      </c>
      <c r="AK86">
        <v>1.30062014312275E-2</v>
      </c>
      <c r="AL86">
        <v>3.5679563230682598E-3</v>
      </c>
      <c r="AM86">
        <v>0.30848168816944599</v>
      </c>
    </row>
    <row r="87" spans="1:39" x14ac:dyDescent="0.35">
      <c r="A87" s="4">
        <f t="shared" si="5"/>
        <v>2014</v>
      </c>
      <c r="B87">
        <v>0.18762784390366197</v>
      </c>
      <c r="C87">
        <v>0.19806047622032169</v>
      </c>
      <c r="D87">
        <f t="shared" si="4"/>
        <v>-1.0432632316659723E-2</v>
      </c>
      <c r="E87">
        <v>2.2716753297863157E-2</v>
      </c>
      <c r="F87">
        <v>1.8430067343548018E-2</v>
      </c>
      <c r="H87">
        <v>0.04</v>
      </c>
      <c r="I87" s="5">
        <v>0.25</v>
      </c>
      <c r="J87" s="5">
        <v>0.67</v>
      </c>
      <c r="K87" s="5">
        <v>1.65</v>
      </c>
      <c r="L87">
        <v>2.17</v>
      </c>
      <c r="M87" s="14">
        <v>2.75</v>
      </c>
      <c r="N87">
        <v>3.9096247399514561</v>
      </c>
      <c r="O87">
        <v>2.5658651340391324E-2</v>
      </c>
      <c r="P87" s="2"/>
      <c r="T87" s="5">
        <v>2.4700000000000002</v>
      </c>
      <c r="AF87" s="14">
        <v>0.38</v>
      </c>
      <c r="AG87" s="14">
        <v>0.47</v>
      </c>
      <c r="AH87" s="14">
        <v>0.49</v>
      </c>
      <c r="AI87" s="14">
        <v>0.68</v>
      </c>
      <c r="AJ87" s="14">
        <v>0.83</v>
      </c>
      <c r="AK87">
        <v>1.17327443048721E-2</v>
      </c>
      <c r="AL87">
        <v>9.8225342292749505E-3</v>
      </c>
      <c r="AM87">
        <v>-6.4935419758353194E-2</v>
      </c>
    </row>
    <row r="88" spans="1:39" x14ac:dyDescent="0.35">
      <c r="A88" s="4">
        <f t="shared" si="5"/>
        <v>2015</v>
      </c>
      <c r="B88">
        <v>0.18944304075579479</v>
      </c>
      <c r="C88">
        <v>0.19817093265956276</v>
      </c>
      <c r="D88">
        <f t="shared" si="4"/>
        <v>-8.7278919037679648E-3</v>
      </c>
      <c r="E88">
        <v>2.7056871088564804E-2</v>
      </c>
      <c r="F88">
        <v>9.6005038381985486E-3</v>
      </c>
      <c r="H88">
        <v>0.16</v>
      </c>
      <c r="I88" s="5">
        <v>0.65</v>
      </c>
      <c r="J88" s="5">
        <v>1.06</v>
      </c>
      <c r="K88" s="5">
        <v>1.76</v>
      </c>
      <c r="L88">
        <v>2.27</v>
      </c>
      <c r="M88" s="14">
        <v>3.01</v>
      </c>
      <c r="N88">
        <v>3.8040011460219074</v>
      </c>
      <c r="O88">
        <v>6.746994279326822E-2</v>
      </c>
      <c r="P88" s="2"/>
      <c r="T88" s="5">
        <v>2.67</v>
      </c>
      <c r="AF88" s="14">
        <v>0.45</v>
      </c>
      <c r="AG88" s="14">
        <v>0.59</v>
      </c>
      <c r="AH88" s="14">
        <v>0.73</v>
      </c>
      <c r="AI88" s="14">
        <v>1.07</v>
      </c>
      <c r="AJ88" s="14">
        <v>1.28</v>
      </c>
      <c r="AK88">
        <v>3.8246850188795598E-3</v>
      </c>
      <c r="AL88">
        <v>1.36652000343307E-2</v>
      </c>
      <c r="AM88">
        <v>1.1670468595064499E-2</v>
      </c>
    </row>
    <row r="89" spans="1:39" x14ac:dyDescent="0.35">
      <c r="A89" s="4">
        <f t="shared" si="5"/>
        <v>2016</v>
      </c>
      <c r="B89">
        <v>0.18527849543463262</v>
      </c>
      <c r="C89">
        <v>0.19827655374937819</v>
      </c>
      <c r="D89">
        <f t="shared" si="4"/>
        <v>-1.299805831474557E-2</v>
      </c>
      <c r="E89">
        <v>1.661308292713759E-2</v>
      </c>
      <c r="F89">
        <v>9.8971644283389892E-3</v>
      </c>
      <c r="H89">
        <v>0.51</v>
      </c>
      <c r="I89" s="5">
        <v>0.85</v>
      </c>
      <c r="J89" s="5">
        <v>1.2</v>
      </c>
      <c r="K89" s="5">
        <v>1.93</v>
      </c>
      <c r="L89">
        <v>2.4500000000000002</v>
      </c>
      <c r="M89" s="14">
        <v>3.06</v>
      </c>
      <c r="N89">
        <v>3.8536374097848189</v>
      </c>
      <c r="O89">
        <v>4.7327469891247108E-2</v>
      </c>
      <c r="P89" s="2"/>
      <c r="T89" s="5">
        <v>2.79</v>
      </c>
      <c r="AF89" s="14">
        <v>0.09</v>
      </c>
      <c r="AG89" s="14">
        <v>0.36</v>
      </c>
      <c r="AH89" s="14">
        <v>0.5</v>
      </c>
      <c r="AI89" s="14">
        <v>0.82</v>
      </c>
      <c r="AJ89" s="14">
        <v>0.99</v>
      </c>
      <c r="AK89">
        <v>3.20830605058857E-3</v>
      </c>
      <c r="AL89">
        <v>1.2192925541766399E-2</v>
      </c>
      <c r="AM89">
        <v>1.4004752364186E-2</v>
      </c>
    </row>
    <row r="90" spans="1:39" x14ac:dyDescent="0.35">
      <c r="A90" s="4">
        <f t="shared" si="5"/>
        <v>2017</v>
      </c>
      <c r="B90">
        <v>0.18096880839442289</v>
      </c>
      <c r="C90">
        <v>0.19501940491591202</v>
      </c>
      <c r="D90">
        <f t="shared" si="4"/>
        <v>-1.4050596521489128E-2</v>
      </c>
      <c r="E90">
        <v>2.2000101083509804E-2</v>
      </c>
      <c r="F90">
        <v>1.9106205600578186E-2</v>
      </c>
      <c r="H90">
        <v>1.39</v>
      </c>
      <c r="I90" s="5">
        <v>1.76</v>
      </c>
      <c r="J90" s="5">
        <v>1.89</v>
      </c>
      <c r="K90" s="5">
        <v>2.2000000000000002</v>
      </c>
      <c r="L90">
        <v>2.4</v>
      </c>
      <c r="M90" s="14">
        <v>2.74</v>
      </c>
      <c r="N90">
        <v>3.9576658117773458</v>
      </c>
      <c r="O90">
        <v>6.3799889531347603E-2</v>
      </c>
      <c r="P90" s="2"/>
      <c r="T90" s="5">
        <v>2.58</v>
      </c>
      <c r="AF90" s="14">
        <v>0.34</v>
      </c>
      <c r="AG90" s="14">
        <v>0.48</v>
      </c>
      <c r="AH90" s="14">
        <v>0.44</v>
      </c>
      <c r="AI90" s="14">
        <v>0.61</v>
      </c>
      <c r="AJ90" s="14">
        <v>0.73</v>
      </c>
      <c r="AK90">
        <v>1.43241065604692E-2</v>
      </c>
      <c r="AL90">
        <v>1.8051394444653701E-2</v>
      </c>
      <c r="AM90">
        <v>0.25710982948894701</v>
      </c>
    </row>
    <row r="91" spans="1:39" x14ac:dyDescent="0.35">
      <c r="A91" s="4">
        <f t="shared" si="5"/>
        <v>2018</v>
      </c>
      <c r="B91">
        <v>0.17386686932460343</v>
      </c>
      <c r="C91">
        <v>0.19445905919950116</v>
      </c>
      <c r="D91">
        <f t="shared" si="4"/>
        <v>-2.0592189874897721E-2</v>
      </c>
      <c r="E91">
        <v>2.868293287445578E-2</v>
      </c>
      <c r="F91">
        <v>2.3700138955427441E-2</v>
      </c>
      <c r="H91">
        <v>2.4500000000000002</v>
      </c>
      <c r="I91" s="5">
        <v>2.63</v>
      </c>
      <c r="J91" s="5">
        <v>2.48</v>
      </c>
      <c r="K91" s="5">
        <v>2.5099999999999998</v>
      </c>
      <c r="L91">
        <v>2.69</v>
      </c>
      <c r="M91" s="14">
        <v>3.02</v>
      </c>
      <c r="N91">
        <v>3.7683190266259703</v>
      </c>
      <c r="O91">
        <v>0.10435513117435732</v>
      </c>
      <c r="P91" s="2"/>
      <c r="S91" s="5"/>
      <c r="T91" s="5">
        <v>2.87</v>
      </c>
      <c r="AF91" s="14">
        <v>1</v>
      </c>
      <c r="AG91" s="14">
        <v>1.04</v>
      </c>
      <c r="AH91" s="14">
        <v>0.98</v>
      </c>
      <c r="AI91" s="14">
        <v>1.0900000000000001</v>
      </c>
      <c r="AJ91" s="14">
        <v>1.21</v>
      </c>
      <c r="AK91">
        <v>1.65356513735508E-2</v>
      </c>
      <c r="AL91">
        <v>1.1220778756939E-2</v>
      </c>
      <c r="AM91">
        <v>-0.15326481735810901</v>
      </c>
    </row>
    <row r="92" spans="1:39" x14ac:dyDescent="0.35">
      <c r="A92" s="4">
        <v>2019</v>
      </c>
      <c r="B92">
        <v>0.17375986075629546</v>
      </c>
      <c r="C92">
        <v>0.19722916257263975</v>
      </c>
      <c r="D92">
        <f t="shared" si="4"/>
        <v>-2.3469301816344296E-2</v>
      </c>
      <c r="E92">
        <v>2.2811665959461713E-2</v>
      </c>
      <c r="F92">
        <v>1.7547225905112818E-2</v>
      </c>
      <c r="H92">
        <v>1.55</v>
      </c>
      <c r="I92" s="5">
        <v>1.59</v>
      </c>
      <c r="J92" s="5">
        <v>1.58</v>
      </c>
      <c r="K92" s="5">
        <v>1.69</v>
      </c>
      <c r="L92">
        <v>1.92</v>
      </c>
      <c r="M92" s="14">
        <v>2.39</v>
      </c>
      <c r="N92">
        <v>3.9615394034724267</v>
      </c>
      <c r="O92">
        <v>4.3476590731417464E-2</v>
      </c>
      <c r="P92" s="2"/>
      <c r="Q92" s="2"/>
      <c r="S92" s="5"/>
      <c r="T92" s="5">
        <v>2.25</v>
      </c>
      <c r="AF92" s="14">
        <v>0.01</v>
      </c>
      <c r="AG92" s="14">
        <v>0.09</v>
      </c>
      <c r="AH92" s="14">
        <v>0.15</v>
      </c>
      <c r="AI92" s="14">
        <v>0.39</v>
      </c>
      <c r="AJ92" s="14">
        <v>0.57999999999999996</v>
      </c>
      <c r="AK92">
        <v>1.1188872154034199E-2</v>
      </c>
      <c r="AL92">
        <v>9.5311761932993407E-3</v>
      </c>
      <c r="AM92">
        <v>0.223510857545096</v>
      </c>
    </row>
    <row r="93" spans="1:39" x14ac:dyDescent="0.35">
      <c r="A93" s="4">
        <v>2020</v>
      </c>
      <c r="B93">
        <v>0.17634502266233362</v>
      </c>
      <c r="C93">
        <v>0.30075094406447878</v>
      </c>
      <c r="D93">
        <f t="shared" si="4"/>
        <v>-0.12440592140214515</v>
      </c>
      <c r="E93">
        <v>-3.5590346424134722E-2</v>
      </c>
      <c r="F93">
        <v>1.2928296730297717E-2</v>
      </c>
      <c r="H93">
        <v>0.09</v>
      </c>
      <c r="I93">
        <v>0.1</v>
      </c>
      <c r="J93" s="15">
        <v>0.13</v>
      </c>
      <c r="K93" s="15">
        <v>0.36</v>
      </c>
      <c r="L93">
        <v>0.93</v>
      </c>
      <c r="M93" s="14">
        <v>1.65</v>
      </c>
      <c r="N93">
        <v>4.1627595986995818</v>
      </c>
      <c r="O93">
        <v>-3.2208175866896414E-2</v>
      </c>
      <c r="P93" s="2"/>
      <c r="Q93" s="2"/>
      <c r="T93" s="5">
        <v>1.45</v>
      </c>
      <c r="AF93" s="14">
        <v>-1.59</v>
      </c>
      <c r="AG93" s="14">
        <v>-1.24</v>
      </c>
      <c r="AH93" s="14">
        <v>-1.06</v>
      </c>
      <c r="AI93" s="14">
        <v>-0.61</v>
      </c>
      <c r="AJ93" s="14">
        <v>-0.37</v>
      </c>
      <c r="AK93">
        <v>3.1900015046559798E-3</v>
      </c>
      <c r="AL93">
        <v>-6.3035394320178198E-2</v>
      </c>
      <c r="AM93">
        <v>9.9309917400969505E-2</v>
      </c>
    </row>
    <row r="94" spans="1:39" x14ac:dyDescent="0.35">
      <c r="A94" s="4"/>
    </row>
    <row r="95" spans="1:39" x14ac:dyDescent="0.35">
      <c r="A95" s="4"/>
    </row>
    <row r="96" spans="1:39" x14ac:dyDescent="0.35">
      <c r="A96" s="4"/>
      <c r="B96" s="8"/>
      <c r="C96" s="8"/>
      <c r="D96" s="8"/>
      <c r="E96" s="8"/>
      <c r="F96" s="8"/>
      <c r="AK96" s="8"/>
      <c r="AL96" s="8"/>
      <c r="AM96" s="8"/>
    </row>
    <row r="97" spans="1:39" x14ac:dyDescent="0.35">
      <c r="A97" s="4"/>
      <c r="B97" s="8"/>
      <c r="C97" s="8"/>
      <c r="D97" s="8"/>
      <c r="E97" s="8"/>
      <c r="F97" s="8"/>
      <c r="AK97" s="8"/>
      <c r="AL97" s="8"/>
      <c r="AM97" s="8"/>
    </row>
    <row r="98" spans="1:39" x14ac:dyDescent="0.35">
      <c r="A98"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96"/>
  <sheetViews>
    <sheetView workbookViewId="0">
      <selection activeCell="J29" sqref="J29"/>
    </sheetView>
  </sheetViews>
  <sheetFormatPr defaultColWidth="10.796875" defaultRowHeight="12.75" x14ac:dyDescent="0.35"/>
  <cols>
    <col min="1" max="1" width="10.6640625" style="5"/>
    <col min="2" max="5" width="8.6640625"/>
  </cols>
  <sheetData>
    <row r="1" spans="1:9" x14ac:dyDescent="0.35">
      <c r="A1" s="3" t="s">
        <v>0</v>
      </c>
      <c r="B1" s="6" t="s">
        <v>1</v>
      </c>
      <c r="C1" s="6" t="s">
        <v>2</v>
      </c>
      <c r="D1" s="6" t="s">
        <v>3</v>
      </c>
      <c r="E1" s="6" t="s">
        <v>4</v>
      </c>
      <c r="G1" t="s">
        <v>21</v>
      </c>
      <c r="H1" t="s">
        <v>20</v>
      </c>
      <c r="I1" t="s">
        <v>22</v>
      </c>
    </row>
    <row r="2" spans="1:9" x14ac:dyDescent="0.35">
      <c r="A2" s="4">
        <v>1929</v>
      </c>
      <c r="B2">
        <v>3.2504780114722749E-2</v>
      </c>
      <c r="C2">
        <v>2.1988527724665391E-2</v>
      </c>
      <c r="D2">
        <v>1.0516252390057358E-2</v>
      </c>
      <c r="G2">
        <v>104.6</v>
      </c>
      <c r="H2">
        <v>3.3999999999999995</v>
      </c>
      <c r="I2">
        <v>2.2999999999999998</v>
      </c>
    </row>
    <row r="3" spans="1:9" x14ac:dyDescent="0.35">
      <c r="A3" s="4">
        <f>A2+1</f>
        <v>1930</v>
      </c>
      <c r="B3">
        <v>2.8199566160520603E-2</v>
      </c>
      <c r="C3">
        <v>2.4945770065075919E-2</v>
      </c>
      <c r="D3">
        <v>3.2537960954446836E-3</v>
      </c>
      <c r="E3">
        <v>-8.6788168899758933E-2</v>
      </c>
      <c r="G3">
        <v>92.2</v>
      </c>
      <c r="H3">
        <v>2.5999999999999996</v>
      </c>
      <c r="I3">
        <v>2.2999999999999998</v>
      </c>
    </row>
    <row r="4" spans="1:9" x14ac:dyDescent="0.35">
      <c r="A4" s="4">
        <f t="shared" ref="A4:A67" si="0">A3+1</f>
        <v>1931</v>
      </c>
      <c r="B4">
        <v>2.0671834625322998E-2</v>
      </c>
      <c r="C4">
        <v>4.5219638242894052E-2</v>
      </c>
      <c r="D4">
        <v>-2.4547803617571057E-2</v>
      </c>
      <c r="E4">
        <v>-7.0891135326294652E-2</v>
      </c>
      <c r="G4">
        <v>77.400000000000006</v>
      </c>
      <c r="H4">
        <v>1.6</v>
      </c>
      <c r="I4">
        <v>3.5</v>
      </c>
    </row>
    <row r="5" spans="1:9" x14ac:dyDescent="0.35">
      <c r="A5" s="4">
        <f t="shared" si="0"/>
        <v>1932</v>
      </c>
      <c r="B5">
        <v>2.1848739495798322E-2</v>
      </c>
      <c r="C5">
        <v>3.8655462184873944E-2</v>
      </c>
      <c r="D5">
        <v>-1.6806722689075626E-2</v>
      </c>
      <c r="E5">
        <v>-0.14212102793360382</v>
      </c>
      <c r="G5">
        <v>59.5</v>
      </c>
      <c r="H5">
        <v>1.3</v>
      </c>
      <c r="I5">
        <v>2.2999999999999998</v>
      </c>
    </row>
    <row r="6" spans="1:9" x14ac:dyDescent="0.35">
      <c r="A6" s="4">
        <f t="shared" si="0"/>
        <v>1933</v>
      </c>
      <c r="B6">
        <v>3.6713286713286705E-2</v>
      </c>
      <c r="C6">
        <v>4.72027972027972E-2</v>
      </c>
      <c r="D6">
        <v>-1.0489510489510499E-2</v>
      </c>
      <c r="E6">
        <v>-1.2019589432769262E-2</v>
      </c>
      <c r="G6">
        <v>57.2</v>
      </c>
      <c r="H6">
        <v>2.0999999999999996</v>
      </c>
      <c r="I6">
        <v>2.7</v>
      </c>
    </row>
    <row r="7" spans="1:9" x14ac:dyDescent="0.35">
      <c r="A7" s="4">
        <f t="shared" si="0"/>
        <v>1934</v>
      </c>
      <c r="B7">
        <v>3.8922155688622756E-2</v>
      </c>
      <c r="C7">
        <v>6.8862275449101798E-2</v>
      </c>
      <c r="D7">
        <v>-2.9940119760479035E-2</v>
      </c>
      <c r="E7">
        <v>0.10771000716434731</v>
      </c>
      <c r="G7">
        <v>66.8</v>
      </c>
      <c r="H7">
        <v>2.6</v>
      </c>
      <c r="I7">
        <v>4.5999999999999996</v>
      </c>
    </row>
    <row r="8" spans="1:9" x14ac:dyDescent="0.35">
      <c r="A8" s="4">
        <f t="shared" si="0"/>
        <v>1935</v>
      </c>
      <c r="B8">
        <v>3.638814016172507E-2</v>
      </c>
      <c r="C8">
        <v>6.0646900269541774E-2</v>
      </c>
      <c r="D8">
        <v>-2.4258760107816708E-2</v>
      </c>
      <c r="E8">
        <v>8.5151883647257343E-2</v>
      </c>
      <c r="G8">
        <v>74.2</v>
      </c>
      <c r="H8">
        <v>2.7</v>
      </c>
      <c r="I8">
        <v>4.5</v>
      </c>
    </row>
    <row r="9" spans="1:9" x14ac:dyDescent="0.35">
      <c r="A9" s="4">
        <f t="shared" si="0"/>
        <v>1936</v>
      </c>
      <c r="B9">
        <v>4.3632075471698117E-2</v>
      </c>
      <c r="C9">
        <v>8.0188679245283029E-2</v>
      </c>
      <c r="D9">
        <v>-3.6556603773584911E-2</v>
      </c>
      <c r="E9">
        <v>0.12108914078172806</v>
      </c>
      <c r="G9">
        <v>84.8</v>
      </c>
      <c r="H9">
        <v>3.7</v>
      </c>
      <c r="I9">
        <v>6.8000000000000007</v>
      </c>
    </row>
    <row r="10" spans="1:9" x14ac:dyDescent="0.35">
      <c r="A10" s="4">
        <f t="shared" si="0"/>
        <v>1937</v>
      </c>
      <c r="B10">
        <v>4.7311827956989252E-2</v>
      </c>
      <c r="C10">
        <v>4.0860215053763436E-2</v>
      </c>
      <c r="D10">
        <v>6.4516129032258125E-3</v>
      </c>
      <c r="E10">
        <v>5.6514328658904489E-2</v>
      </c>
      <c r="G10">
        <v>93</v>
      </c>
      <c r="H10">
        <v>4.4000000000000004</v>
      </c>
      <c r="I10">
        <v>3.8</v>
      </c>
    </row>
    <row r="11" spans="1:9" x14ac:dyDescent="0.35">
      <c r="A11" s="4">
        <f t="shared" si="0"/>
        <v>1938</v>
      </c>
      <c r="B11">
        <v>4.2334096109839812E-2</v>
      </c>
      <c r="C11">
        <v>5.3775743707093808E-2</v>
      </c>
      <c r="D11">
        <v>-1.1441647597253999E-2</v>
      </c>
      <c r="E11">
        <v>-4.3529411413320229E-2</v>
      </c>
      <c r="G11">
        <v>87.4</v>
      </c>
      <c r="H11">
        <v>3.6999999999999997</v>
      </c>
      <c r="I11">
        <v>4.6999999999999993</v>
      </c>
    </row>
    <row r="12" spans="1:9" x14ac:dyDescent="0.35">
      <c r="A12" s="4">
        <f t="shared" si="0"/>
        <v>1939</v>
      </c>
      <c r="B12">
        <v>3.6402569593147756E-2</v>
      </c>
      <c r="C12">
        <v>5.5674518201284787E-2</v>
      </c>
      <c r="D12">
        <v>-1.9271948608137031E-2</v>
      </c>
      <c r="E12">
        <v>7.9017399852165493E-2</v>
      </c>
      <c r="G12">
        <v>93.4</v>
      </c>
      <c r="H12">
        <v>3.4000000000000004</v>
      </c>
      <c r="I12">
        <v>5.1999999999999993</v>
      </c>
    </row>
    <row r="13" spans="1:9" x14ac:dyDescent="0.35">
      <c r="A13" s="4">
        <f t="shared" si="0"/>
        <v>1940</v>
      </c>
      <c r="B13">
        <v>5.0534499514091349E-2</v>
      </c>
      <c r="C13">
        <v>5.0534499514091349E-2</v>
      </c>
      <c r="D13">
        <v>0</v>
      </c>
      <c r="E13">
        <v>8.7871907307488062E-2</v>
      </c>
      <c r="G13">
        <v>102.9</v>
      </c>
      <c r="H13">
        <v>5.2</v>
      </c>
      <c r="I13">
        <v>5.2</v>
      </c>
    </row>
    <row r="14" spans="1:9" x14ac:dyDescent="0.35">
      <c r="A14" s="4">
        <f t="shared" si="0"/>
        <v>1941</v>
      </c>
      <c r="B14">
        <v>9.0487238979118312E-2</v>
      </c>
      <c r="C14">
        <v>7.8112915699922653E-2</v>
      </c>
      <c r="D14">
        <v>1.2374323279195664E-2</v>
      </c>
      <c r="E14">
        <v>0.16490217041512167</v>
      </c>
      <c r="G14">
        <v>129.30000000000001</v>
      </c>
      <c r="H14">
        <v>11.7</v>
      </c>
      <c r="I14">
        <v>10.1</v>
      </c>
    </row>
    <row r="15" spans="1:9" x14ac:dyDescent="0.35">
      <c r="A15" s="4">
        <f t="shared" si="0"/>
        <v>1942</v>
      </c>
      <c r="B15">
        <v>0.11024096385542169</v>
      </c>
      <c r="C15">
        <v>0.16987951807228915</v>
      </c>
      <c r="D15">
        <v>-5.9638554216867458E-2</v>
      </c>
      <c r="E15">
        <v>0.16983790018758471</v>
      </c>
      <c r="G15">
        <v>166</v>
      </c>
      <c r="H15">
        <v>18.3</v>
      </c>
      <c r="I15">
        <v>28.2</v>
      </c>
    </row>
    <row r="16" spans="1:9" x14ac:dyDescent="0.35">
      <c r="A16" s="4">
        <f t="shared" si="0"/>
        <v>1943</v>
      </c>
      <c r="B16">
        <v>0.16494337764647957</v>
      </c>
      <c r="C16">
        <v>0.23830625307730183</v>
      </c>
      <c r="D16">
        <v>-7.3362875430822247E-2</v>
      </c>
      <c r="E16">
        <v>0.15503737265009443</v>
      </c>
      <c r="G16">
        <v>203.1</v>
      </c>
      <c r="H16">
        <v>33.5</v>
      </c>
      <c r="I16">
        <v>48.4</v>
      </c>
    </row>
    <row r="17" spans="1:9" x14ac:dyDescent="0.35">
      <c r="A17" s="4">
        <f t="shared" si="0"/>
        <v>1944</v>
      </c>
      <c r="B17">
        <v>0.15151515151515152</v>
      </c>
      <c r="C17">
        <v>0.26960784313725489</v>
      </c>
      <c r="D17">
        <v>-0.11809269162210338</v>
      </c>
      <c r="E17">
        <v>7.6086432324585562E-2</v>
      </c>
      <c r="G17">
        <v>224.4</v>
      </c>
      <c r="H17">
        <v>34</v>
      </c>
      <c r="I17">
        <v>60.5</v>
      </c>
    </row>
    <row r="18" spans="1:9" x14ac:dyDescent="0.35">
      <c r="A18" s="4">
        <f t="shared" si="0"/>
        <v>1945</v>
      </c>
      <c r="B18">
        <v>0.14868421052631578</v>
      </c>
      <c r="C18">
        <v>0.27192982456140352</v>
      </c>
      <c r="D18">
        <v>-0.12324561403508773</v>
      </c>
      <c r="E18">
        <v>-8.7183715673400108E-3</v>
      </c>
      <c r="G18">
        <v>228</v>
      </c>
      <c r="H18">
        <v>33.9</v>
      </c>
      <c r="I18">
        <v>62</v>
      </c>
    </row>
    <row r="19" spans="1:9" x14ac:dyDescent="0.35">
      <c r="A19" s="4">
        <f t="shared" si="0"/>
        <v>1946</v>
      </c>
      <c r="B19">
        <v>0.12615384615384617</v>
      </c>
      <c r="C19">
        <v>0.13890109890109889</v>
      </c>
      <c r="D19">
        <v>-1.2747252747252726E-2</v>
      </c>
      <c r="E19">
        <v>-0.12073924953544068</v>
      </c>
      <c r="G19">
        <v>227.5</v>
      </c>
      <c r="H19">
        <v>28.700000000000003</v>
      </c>
      <c r="I19">
        <v>31.599999999999998</v>
      </c>
    </row>
    <row r="20" spans="1:9" x14ac:dyDescent="0.35">
      <c r="A20" s="4">
        <f t="shared" si="0"/>
        <v>1947</v>
      </c>
      <c r="B20">
        <v>0.13782051282051286</v>
      </c>
      <c r="C20">
        <v>0.10616987179487179</v>
      </c>
      <c r="D20">
        <v>3.1650641025641052E-2</v>
      </c>
      <c r="E20">
        <v>-1.3830951606107256E-2</v>
      </c>
      <c r="G20">
        <v>249.6</v>
      </c>
      <c r="H20">
        <v>34.400000000000006</v>
      </c>
      <c r="I20">
        <v>26.5</v>
      </c>
    </row>
    <row r="21" spans="1:9" x14ac:dyDescent="0.35">
      <c r="A21" s="4">
        <f t="shared" si="0"/>
        <v>1948</v>
      </c>
      <c r="B21">
        <v>0.12058287795992714</v>
      </c>
      <c r="C21">
        <v>9.6539162112932619E-2</v>
      </c>
      <c r="D21">
        <v>2.4043715846994527E-2</v>
      </c>
      <c r="E21">
        <v>3.9830701321730277E-2</v>
      </c>
      <c r="G21">
        <v>274.5</v>
      </c>
      <c r="H21">
        <v>33.1</v>
      </c>
      <c r="I21">
        <v>26.500000000000004</v>
      </c>
    </row>
    <row r="22" spans="1:9" x14ac:dyDescent="0.35">
      <c r="A22" s="4">
        <f t="shared" si="0"/>
        <v>1949</v>
      </c>
      <c r="B22">
        <v>9.9082568807339469E-2</v>
      </c>
      <c r="C22">
        <v>0.10825688073394496</v>
      </c>
      <c r="D22">
        <v>-9.1743119266054912E-3</v>
      </c>
      <c r="E22">
        <v>-7.0036233580426099E-3</v>
      </c>
      <c r="G22">
        <v>272.5</v>
      </c>
      <c r="H22">
        <v>27.000000000000004</v>
      </c>
      <c r="I22">
        <v>29.5</v>
      </c>
    </row>
    <row r="23" spans="1:9" x14ac:dyDescent="0.35">
      <c r="A23" s="4">
        <f t="shared" si="0"/>
        <v>1950</v>
      </c>
      <c r="B23">
        <v>0.12841894596397602</v>
      </c>
      <c r="C23">
        <v>0.10140093395597063</v>
      </c>
      <c r="D23">
        <v>2.7018012008005365E-2</v>
      </c>
      <c r="E23">
        <v>8.6094452532109234E-2</v>
      </c>
      <c r="G23">
        <v>299.8</v>
      </c>
      <c r="H23">
        <v>38.500000000000007</v>
      </c>
      <c r="I23">
        <v>30.4</v>
      </c>
    </row>
    <row r="24" spans="1:9" x14ac:dyDescent="0.35">
      <c r="A24" s="4">
        <f t="shared" si="0"/>
        <v>1951</v>
      </c>
      <c r="B24">
        <v>0.14903430383395788</v>
      </c>
      <c r="C24">
        <v>0.11703660997405593</v>
      </c>
      <c r="D24">
        <v>3.1997693859901956E-2</v>
      </c>
      <c r="E24">
        <v>8.0301815707995772E-2</v>
      </c>
      <c r="G24">
        <v>346.9</v>
      </c>
      <c r="H24">
        <v>51.699999999999989</v>
      </c>
      <c r="I24">
        <v>40.6</v>
      </c>
    </row>
    <row r="25" spans="1:9" x14ac:dyDescent="0.35">
      <c r="A25" s="4">
        <f t="shared" si="0"/>
        <v>1952</v>
      </c>
      <c r="B25">
        <v>0.15083038388238496</v>
      </c>
      <c r="C25">
        <v>0.13830656139395589</v>
      </c>
      <c r="D25">
        <v>1.2523822488429042E-2</v>
      </c>
      <c r="E25">
        <v>3.5584338037613517E-2</v>
      </c>
      <c r="G25">
        <v>367.3</v>
      </c>
      <c r="H25">
        <v>55.399999999999991</v>
      </c>
      <c r="I25">
        <v>50.800000000000004</v>
      </c>
    </row>
    <row r="26" spans="1:9" x14ac:dyDescent="0.35">
      <c r="A26" s="4">
        <f t="shared" si="0"/>
        <v>1953</v>
      </c>
      <c r="B26">
        <v>0.14953751284686537</v>
      </c>
      <c r="C26">
        <v>0.14260020554984584</v>
      </c>
      <c r="D26">
        <v>6.9373072970195168E-3</v>
      </c>
      <c r="E26">
        <v>4.5226879785364993E-2</v>
      </c>
      <c r="G26">
        <v>389.2</v>
      </c>
      <c r="H26">
        <v>58.199999999999996</v>
      </c>
      <c r="I26">
        <v>55.5</v>
      </c>
    </row>
    <row r="27" spans="1:9" x14ac:dyDescent="0.35">
      <c r="A27" s="4">
        <f t="shared" si="0"/>
        <v>1954</v>
      </c>
      <c r="B27">
        <v>0.1321382842509603</v>
      </c>
      <c r="C27">
        <v>0.13341869398207426</v>
      </c>
      <c r="D27">
        <v>-1.2804097311139564E-3</v>
      </c>
      <c r="E27">
        <v>-6.7967609829953091E-3</v>
      </c>
      <c r="G27">
        <v>390.5</v>
      </c>
      <c r="H27">
        <v>51.6</v>
      </c>
      <c r="I27">
        <v>52.1</v>
      </c>
    </row>
    <row r="28" spans="1:9" x14ac:dyDescent="0.35">
      <c r="A28" s="4">
        <f t="shared" si="0"/>
        <v>1955</v>
      </c>
      <c r="B28">
        <v>0.13819036427732082</v>
      </c>
      <c r="C28">
        <v>0.12126909518213864</v>
      </c>
      <c r="D28">
        <v>1.6921269095182177E-2</v>
      </c>
      <c r="E28">
        <v>7.1742168742408019E-2</v>
      </c>
      <c r="G28">
        <v>425.5</v>
      </c>
      <c r="H28">
        <v>58.800000000000011</v>
      </c>
      <c r="I28">
        <v>51.599999999999994</v>
      </c>
    </row>
    <row r="29" spans="1:9" x14ac:dyDescent="0.35">
      <c r="A29" s="4">
        <f t="shared" si="0"/>
        <v>1956</v>
      </c>
      <c r="B29">
        <v>0.13818424566088119</v>
      </c>
      <c r="C29">
        <v>0.11615487316421895</v>
      </c>
      <c r="D29">
        <v>2.2029372496662231E-2</v>
      </c>
      <c r="E29">
        <v>2.1008332151462916E-2</v>
      </c>
      <c r="G29">
        <v>449.4</v>
      </c>
      <c r="H29">
        <v>62.1</v>
      </c>
      <c r="I29">
        <v>52.199999999999996</v>
      </c>
    </row>
    <row r="30" spans="1:9" x14ac:dyDescent="0.35">
      <c r="A30" s="4">
        <f t="shared" si="0"/>
        <v>1957</v>
      </c>
      <c r="B30">
        <v>0.13481012658227851</v>
      </c>
      <c r="C30">
        <v>0.12025316455696203</v>
      </c>
      <c r="D30">
        <v>1.4556962025316467E-2</v>
      </c>
      <c r="E30">
        <v>1.8915275161252687E-2</v>
      </c>
      <c r="G30">
        <v>474</v>
      </c>
      <c r="H30">
        <v>63.900000000000006</v>
      </c>
      <c r="I30">
        <v>57</v>
      </c>
    </row>
    <row r="31" spans="1:9" x14ac:dyDescent="0.35">
      <c r="A31" s="4">
        <f t="shared" si="0"/>
        <v>1958</v>
      </c>
      <c r="B31">
        <v>0.12551953449709058</v>
      </c>
      <c r="C31">
        <v>0.13029925187032421</v>
      </c>
      <c r="D31">
        <v>-4.7797173732336213E-3</v>
      </c>
      <c r="E31">
        <v>-7.9038064409133746E-3</v>
      </c>
      <c r="G31">
        <v>481.2</v>
      </c>
      <c r="H31">
        <v>60.399999999999984</v>
      </c>
      <c r="I31">
        <v>62.7</v>
      </c>
    </row>
    <row r="32" spans="1:9" x14ac:dyDescent="0.35">
      <c r="A32" s="4">
        <f t="shared" si="0"/>
        <v>1959</v>
      </c>
      <c r="B32">
        <v>0.12900134176729919</v>
      </c>
      <c r="C32">
        <v>0.11539198773241324</v>
      </c>
      <c r="D32">
        <v>1.3609354034885951E-2</v>
      </c>
      <c r="E32">
        <v>6.774646328588485E-2</v>
      </c>
      <c r="G32">
        <v>521.70000000000005</v>
      </c>
      <c r="H32">
        <v>67.3</v>
      </c>
      <c r="I32">
        <v>60.199999999999996</v>
      </c>
    </row>
    <row r="33" spans="1:9" x14ac:dyDescent="0.35">
      <c r="A33" s="4">
        <f t="shared" si="0"/>
        <v>1960</v>
      </c>
      <c r="B33">
        <v>0.13034660766961653</v>
      </c>
      <c r="C33">
        <v>0.10766961651917405</v>
      </c>
      <c r="D33">
        <v>2.2676991150442485E-2</v>
      </c>
      <c r="E33">
        <v>2.5294670500172423E-2</v>
      </c>
      <c r="G33">
        <v>542.4</v>
      </c>
      <c r="H33">
        <v>70.7</v>
      </c>
      <c r="I33">
        <v>58.4</v>
      </c>
    </row>
    <row r="34" spans="1:9" x14ac:dyDescent="0.35">
      <c r="A34" s="4">
        <f t="shared" si="0"/>
        <v>1961</v>
      </c>
      <c r="B34">
        <v>0.12557808609035928</v>
      </c>
      <c r="C34">
        <v>0.11241551049448595</v>
      </c>
      <c r="D34">
        <v>1.3162575595873338E-2</v>
      </c>
      <c r="E34">
        <v>2.5271179810746336E-2</v>
      </c>
      <c r="G34">
        <v>562.20000000000005</v>
      </c>
      <c r="H34">
        <v>70.599999999999994</v>
      </c>
      <c r="I34">
        <v>63.2</v>
      </c>
    </row>
    <row r="35" spans="1:9" x14ac:dyDescent="0.35">
      <c r="A35" s="4">
        <f t="shared" si="0"/>
        <v>1962</v>
      </c>
      <c r="B35">
        <v>0.12584865043881438</v>
      </c>
      <c r="C35">
        <v>0.11326378539493295</v>
      </c>
      <c r="D35">
        <v>1.2584865043881429E-2</v>
      </c>
      <c r="E35">
        <v>5.9432468541989358E-2</v>
      </c>
      <c r="G35">
        <v>603.9</v>
      </c>
      <c r="H35">
        <v>76</v>
      </c>
      <c r="I35">
        <v>68.400000000000006</v>
      </c>
    </row>
    <row r="36" spans="1:9" x14ac:dyDescent="0.35">
      <c r="A36" s="4">
        <f t="shared" si="0"/>
        <v>1963</v>
      </c>
      <c r="B36">
        <v>0.12784313725490196</v>
      </c>
      <c r="C36">
        <v>0.10917647058823529</v>
      </c>
      <c r="D36">
        <v>1.8666666666666675E-2</v>
      </c>
      <c r="E36">
        <v>4.2753016503982888E-2</v>
      </c>
      <c r="G36">
        <v>637.5</v>
      </c>
      <c r="H36">
        <v>81.5</v>
      </c>
      <c r="I36">
        <v>69.599999999999994</v>
      </c>
    </row>
    <row r="37" spans="1:9" x14ac:dyDescent="0.35">
      <c r="A37" s="4">
        <f t="shared" si="0"/>
        <v>1964</v>
      </c>
      <c r="B37">
        <v>0.11716581446311175</v>
      </c>
      <c r="C37">
        <v>0.10518626734842951</v>
      </c>
      <c r="D37">
        <v>1.1979547114682233E-2</v>
      </c>
      <c r="E37">
        <v>5.6028862834015314E-2</v>
      </c>
      <c r="G37">
        <v>684.5</v>
      </c>
      <c r="H37">
        <v>80.199999999999989</v>
      </c>
      <c r="I37">
        <v>72</v>
      </c>
    </row>
    <row r="38" spans="1:9" x14ac:dyDescent="0.35">
      <c r="A38" s="4">
        <f t="shared" si="0"/>
        <v>1965</v>
      </c>
      <c r="B38">
        <v>0.11747271992455879</v>
      </c>
      <c r="C38">
        <v>0.10346221204364812</v>
      </c>
      <c r="D38">
        <v>1.4010507880910673E-2</v>
      </c>
      <c r="E38">
        <v>6.2919627540392042E-2</v>
      </c>
      <c r="G38">
        <v>742.3</v>
      </c>
      <c r="H38">
        <v>87.199999999999989</v>
      </c>
      <c r="I38">
        <v>76.8</v>
      </c>
    </row>
    <row r="39" spans="1:9" x14ac:dyDescent="0.35">
      <c r="A39" s="4">
        <f t="shared" si="0"/>
        <v>1966</v>
      </c>
      <c r="B39">
        <v>0.11642488320629456</v>
      </c>
      <c r="C39">
        <v>0.10351610523727564</v>
      </c>
      <c r="D39">
        <v>1.2908777969018915E-2</v>
      </c>
      <c r="E39">
        <v>6.3815433822247858E-2</v>
      </c>
      <c r="G39">
        <v>813.4</v>
      </c>
      <c r="H39">
        <v>94.699999999999989</v>
      </c>
      <c r="I39">
        <v>84.2</v>
      </c>
    </row>
    <row r="40" spans="1:9" x14ac:dyDescent="0.35">
      <c r="A40" s="4">
        <f t="shared" si="0"/>
        <v>1967</v>
      </c>
      <c r="B40">
        <v>0.11581395348837209</v>
      </c>
      <c r="C40">
        <v>0.11686046511627907</v>
      </c>
      <c r="D40">
        <v>-1.0465116279069833E-3</v>
      </c>
      <c r="E40">
        <v>2.7151420559642148E-2</v>
      </c>
      <c r="G40">
        <v>860</v>
      </c>
      <c r="H40">
        <v>99.6</v>
      </c>
      <c r="I40">
        <v>100.5</v>
      </c>
    </row>
    <row r="41" spans="1:9" x14ac:dyDescent="0.35">
      <c r="A41" s="4">
        <f t="shared" si="0"/>
        <v>1968</v>
      </c>
      <c r="B41">
        <v>0.12639523758902946</v>
      </c>
      <c r="C41">
        <v>0.11874136281492503</v>
      </c>
      <c r="D41">
        <v>7.6538747741044079E-3</v>
      </c>
      <c r="E41">
        <v>4.7971494112367896E-2</v>
      </c>
      <c r="G41">
        <v>940.7</v>
      </c>
      <c r="H41">
        <v>118.9</v>
      </c>
      <c r="I41">
        <v>111.69999999999999</v>
      </c>
    </row>
    <row r="42" spans="1:9" x14ac:dyDescent="0.35">
      <c r="A42" s="4">
        <f t="shared" si="0"/>
        <v>1969</v>
      </c>
      <c r="B42">
        <v>0.13217374213836477</v>
      </c>
      <c r="C42">
        <v>0.11379716981132076</v>
      </c>
      <c r="D42">
        <v>1.8376572327044014E-2</v>
      </c>
      <c r="E42">
        <v>3.0678561872195864E-2</v>
      </c>
      <c r="G42">
        <v>1017.6</v>
      </c>
      <c r="H42">
        <v>134.5</v>
      </c>
      <c r="I42">
        <v>115.80000000000001</v>
      </c>
    </row>
    <row r="43" spans="1:9" x14ac:dyDescent="0.35">
      <c r="A43" s="4">
        <f t="shared" si="0"/>
        <v>1970</v>
      </c>
      <c r="B43">
        <v>0.11590422062796982</v>
      </c>
      <c r="C43">
        <v>0.12112177396813566</v>
      </c>
      <c r="D43">
        <v>-5.2175533401658388E-3</v>
      </c>
      <c r="E43">
        <v>1.8909642374511648E-3</v>
      </c>
      <c r="G43">
        <v>1073.3</v>
      </c>
      <c r="H43">
        <v>124.4</v>
      </c>
      <c r="I43">
        <v>130</v>
      </c>
    </row>
    <row r="44" spans="1:9" x14ac:dyDescent="0.35">
      <c r="A44" s="4">
        <f t="shared" si="0"/>
        <v>1971</v>
      </c>
      <c r="B44">
        <v>0.10558846252897243</v>
      </c>
      <c r="C44">
        <v>0.1236157610095287</v>
      </c>
      <c r="D44">
        <v>-1.8027298480556269E-2</v>
      </c>
      <c r="E44">
        <v>3.2395539646384197E-2</v>
      </c>
      <c r="G44">
        <v>1164.9000000000001</v>
      </c>
      <c r="H44">
        <v>123</v>
      </c>
      <c r="I44">
        <v>144</v>
      </c>
    </row>
    <row r="45" spans="1:9" x14ac:dyDescent="0.35">
      <c r="A45" s="4">
        <f t="shared" si="0"/>
        <v>1972</v>
      </c>
      <c r="B45">
        <v>0.10851379876475646</v>
      </c>
      <c r="C45">
        <v>0.12242983347666328</v>
      </c>
      <c r="D45">
        <v>-1.3916034711906819E-2</v>
      </c>
      <c r="E45">
        <v>5.1225314680908074E-2</v>
      </c>
      <c r="G45">
        <v>1279.0999999999999</v>
      </c>
      <c r="H45">
        <v>138.79999999999998</v>
      </c>
      <c r="I45">
        <v>156.6</v>
      </c>
    </row>
    <row r="46" spans="1:9" x14ac:dyDescent="0.35">
      <c r="A46" s="4">
        <f t="shared" si="0"/>
        <v>1973</v>
      </c>
      <c r="B46">
        <v>0.1085309386838782</v>
      </c>
      <c r="C46">
        <v>0.11049529956503437</v>
      </c>
      <c r="D46">
        <v>-1.9643608811561746E-3</v>
      </c>
      <c r="E46">
        <v>5.4986412055249012E-2</v>
      </c>
      <c r="G46">
        <v>1425.4</v>
      </c>
      <c r="H46">
        <v>154.69999999999999</v>
      </c>
      <c r="I46">
        <v>157.5</v>
      </c>
    </row>
    <row r="47" spans="1:9" x14ac:dyDescent="0.35">
      <c r="A47" s="4">
        <f t="shared" si="0"/>
        <v>1974</v>
      </c>
      <c r="B47">
        <v>0.11325394770903441</v>
      </c>
      <c r="C47">
        <v>0.11441884545689877</v>
      </c>
      <c r="D47">
        <v>-1.1648977478643614E-3</v>
      </c>
      <c r="E47">
        <v>-5.2025895652869636E-3</v>
      </c>
      <c r="G47">
        <v>1545.2</v>
      </c>
      <c r="H47">
        <v>174.99999999999997</v>
      </c>
      <c r="I47">
        <v>176.79999999999998</v>
      </c>
    </row>
    <row r="48" spans="1:9" x14ac:dyDescent="0.35">
      <c r="A48" s="4">
        <f t="shared" si="0"/>
        <v>1975</v>
      </c>
      <c r="B48">
        <v>9.8759570300908081E-2</v>
      </c>
      <c r="C48">
        <v>0.13134310641581104</v>
      </c>
      <c r="D48">
        <v>-3.2583536114902945E-2</v>
      </c>
      <c r="E48">
        <v>-2.28164626580174E-3</v>
      </c>
      <c r="G48">
        <v>1684.9</v>
      </c>
      <c r="H48">
        <v>166.40000000000003</v>
      </c>
      <c r="I48">
        <v>221.3</v>
      </c>
    </row>
    <row r="49" spans="1:9" x14ac:dyDescent="0.35">
      <c r="A49" s="4">
        <f t="shared" si="0"/>
        <v>1976</v>
      </c>
      <c r="B49">
        <v>0.10665100886089465</v>
      </c>
      <c r="C49">
        <v>0.12394576705455321</v>
      </c>
      <c r="D49">
        <v>-1.7294758193658562E-2</v>
      </c>
      <c r="E49">
        <v>5.2429539327033758E-2</v>
      </c>
      <c r="G49">
        <v>1873.4</v>
      </c>
      <c r="H49">
        <v>199.80000000000004</v>
      </c>
      <c r="I49">
        <v>232.2</v>
      </c>
    </row>
    <row r="50" spans="1:9" x14ac:dyDescent="0.35">
      <c r="A50" s="4">
        <f t="shared" si="0"/>
        <v>1977</v>
      </c>
      <c r="B50">
        <v>0.10855990008646361</v>
      </c>
      <c r="C50">
        <v>0.1183591123066577</v>
      </c>
      <c r="D50">
        <v>-9.799212220194092E-3</v>
      </c>
      <c r="E50">
        <v>4.5245678848899296E-2</v>
      </c>
      <c r="G50">
        <v>2081.8000000000002</v>
      </c>
      <c r="H50">
        <v>225.99999999999997</v>
      </c>
      <c r="I50">
        <v>246.40000000000003</v>
      </c>
    </row>
    <row r="51" spans="1:9" x14ac:dyDescent="0.35">
      <c r="A51" s="4">
        <f t="shared" si="0"/>
        <v>1978</v>
      </c>
      <c r="B51">
        <v>0.11064806939955778</v>
      </c>
      <c r="C51">
        <v>0.11073311787719002</v>
      </c>
      <c r="D51">
        <v>-8.5048477632245552E-5</v>
      </c>
      <c r="E51">
        <v>5.3873316092794887E-2</v>
      </c>
      <c r="G51">
        <v>2351.6</v>
      </c>
      <c r="H51">
        <v>260.20000000000005</v>
      </c>
      <c r="I51">
        <v>260.40000000000003</v>
      </c>
    </row>
    <row r="52" spans="1:9" x14ac:dyDescent="0.35">
      <c r="A52" s="4">
        <f t="shared" si="0"/>
        <v>1979</v>
      </c>
      <c r="B52">
        <v>0.11296768545655235</v>
      </c>
      <c r="C52">
        <v>0.10447988429185856</v>
      </c>
      <c r="D52">
        <v>8.4878011646937965E-3</v>
      </c>
      <c r="E52">
        <v>3.1209207463237298E-2</v>
      </c>
      <c r="G52">
        <v>2627.3</v>
      </c>
      <c r="H52">
        <v>296.8</v>
      </c>
      <c r="I52">
        <v>274.5</v>
      </c>
    </row>
    <row r="53" spans="1:9" x14ac:dyDescent="0.35">
      <c r="A53" s="4">
        <f t="shared" si="0"/>
        <v>1980</v>
      </c>
      <c r="B53">
        <v>0.11251881146536939</v>
      </c>
      <c r="C53">
        <v>0.11514366709830959</v>
      </c>
      <c r="D53">
        <v>-2.6248556329401883E-3</v>
      </c>
      <c r="E53">
        <v>-2.8028622921532076E-3</v>
      </c>
      <c r="G53">
        <v>2857.3</v>
      </c>
      <c r="H53">
        <v>321.5</v>
      </c>
      <c r="I53">
        <v>329</v>
      </c>
    </row>
    <row r="54" spans="1:9" x14ac:dyDescent="0.35">
      <c r="A54" s="4">
        <f t="shared" si="0"/>
        <v>1981</v>
      </c>
      <c r="B54">
        <v>0.11490489554100405</v>
      </c>
      <c r="C54">
        <v>0.11188026192703461</v>
      </c>
      <c r="D54">
        <v>3.0246336139694383E-3</v>
      </c>
      <c r="E54">
        <v>2.5253463508692064E-2</v>
      </c>
      <c r="G54">
        <v>3207</v>
      </c>
      <c r="H54">
        <v>368.5</v>
      </c>
      <c r="I54">
        <v>358.8</v>
      </c>
    </row>
    <row r="55" spans="1:9" x14ac:dyDescent="0.35">
      <c r="A55" s="4">
        <f t="shared" si="0"/>
        <v>1982</v>
      </c>
      <c r="B55">
        <v>0.1020695017644596</v>
      </c>
      <c r="C55">
        <v>0.1188468209821161</v>
      </c>
      <c r="D55">
        <v>-1.6777319217656513E-2</v>
      </c>
      <c r="E55">
        <v>-1.8225691660578747E-2</v>
      </c>
      <c r="G55">
        <v>3343.8</v>
      </c>
      <c r="H55">
        <v>341.3</v>
      </c>
      <c r="I55">
        <v>397.39999999999986</v>
      </c>
    </row>
    <row r="56" spans="1:9" x14ac:dyDescent="0.35">
      <c r="A56" s="4">
        <f t="shared" si="0"/>
        <v>1983</v>
      </c>
      <c r="B56">
        <v>9.4001100715465039E-2</v>
      </c>
      <c r="C56">
        <v>0.11684094661529995</v>
      </c>
      <c r="D56">
        <v>-2.2839845899834909E-2</v>
      </c>
      <c r="E56">
        <v>4.4870798275717938E-2</v>
      </c>
      <c r="G56">
        <v>3634</v>
      </c>
      <c r="H56">
        <v>341.59999999999997</v>
      </c>
      <c r="I56">
        <v>424.6</v>
      </c>
    </row>
    <row r="57" spans="1:9" x14ac:dyDescent="0.35">
      <c r="A57" s="4">
        <f t="shared" si="0"/>
        <v>1984</v>
      </c>
      <c r="B57">
        <v>9.1291856548444628E-2</v>
      </c>
      <c r="C57">
        <v>0.10382405389340203</v>
      </c>
      <c r="D57">
        <v>-1.2532197344957407E-2</v>
      </c>
      <c r="E57">
        <v>6.985170824589737E-2</v>
      </c>
      <c r="G57">
        <v>4037.6</v>
      </c>
      <c r="H57">
        <v>368.6</v>
      </c>
      <c r="I57">
        <v>419.20000000000005</v>
      </c>
    </row>
    <row r="58" spans="1:9" x14ac:dyDescent="0.35">
      <c r="A58" s="4">
        <f t="shared" si="0"/>
        <v>1985</v>
      </c>
      <c r="B58">
        <v>9.207190596911731E-2</v>
      </c>
      <c r="C58">
        <v>0.10078359068909885</v>
      </c>
      <c r="D58">
        <v>-8.7116847199815526E-3</v>
      </c>
      <c r="E58">
        <v>4.0835731301328337E-2</v>
      </c>
      <c r="G58">
        <v>4339</v>
      </c>
      <c r="H58">
        <v>399.5</v>
      </c>
      <c r="I58">
        <v>437.29999999999995</v>
      </c>
    </row>
    <row r="59" spans="1:9" x14ac:dyDescent="0.35">
      <c r="A59" s="4">
        <f t="shared" si="0"/>
        <v>1986</v>
      </c>
      <c r="B59">
        <v>9.0444580312691064E-2</v>
      </c>
      <c r="C59">
        <v>0.10077299327452181</v>
      </c>
      <c r="D59">
        <v>-1.0328412961830742E-2</v>
      </c>
      <c r="E59">
        <v>3.392009187158429E-2</v>
      </c>
      <c r="G59">
        <v>4579.6000000000004</v>
      </c>
      <c r="H59">
        <v>414.20000000000005</v>
      </c>
      <c r="I59">
        <v>461.50000000000011</v>
      </c>
    </row>
    <row r="60" spans="1:9" x14ac:dyDescent="0.35">
      <c r="A60" s="4">
        <f t="shared" si="0"/>
        <v>1987</v>
      </c>
      <c r="B60">
        <v>9.7627286208601075E-2</v>
      </c>
      <c r="C60">
        <v>9.4702586917119802E-2</v>
      </c>
      <c r="D60">
        <v>2.9246992914812729E-3</v>
      </c>
      <c r="E60">
        <v>3.4163619694961511E-2</v>
      </c>
      <c r="G60">
        <v>4855.2</v>
      </c>
      <c r="H60">
        <v>473.99999999999994</v>
      </c>
      <c r="I60">
        <v>459.80000000000007</v>
      </c>
    </row>
    <row r="61" spans="1:9" x14ac:dyDescent="0.35">
      <c r="A61" s="4">
        <f t="shared" si="0"/>
        <v>1988</v>
      </c>
      <c r="B61">
        <v>9.4301428462302342E-2</v>
      </c>
      <c r="C61">
        <v>8.8782369566878003E-2</v>
      </c>
      <c r="D61">
        <v>5.5190588954243331E-3</v>
      </c>
      <c r="E61">
        <v>4.0885038229655279E-2</v>
      </c>
      <c r="G61">
        <v>5236.3999999999996</v>
      </c>
      <c r="H61">
        <v>493.79999999999995</v>
      </c>
      <c r="I61">
        <v>464.9</v>
      </c>
    </row>
    <row r="62" spans="1:9" x14ac:dyDescent="0.35">
      <c r="A62" s="4">
        <f t="shared" si="0"/>
        <v>1989</v>
      </c>
      <c r="B62">
        <v>9.6656976744186038E-2</v>
      </c>
      <c r="C62">
        <v>8.8343732274532044E-2</v>
      </c>
      <c r="D62">
        <v>8.3132444696539937E-3</v>
      </c>
      <c r="E62">
        <v>3.6081570560411613E-2</v>
      </c>
      <c r="G62">
        <v>5641.6</v>
      </c>
      <c r="H62">
        <v>545.29999999999995</v>
      </c>
      <c r="I62">
        <v>498.4</v>
      </c>
    </row>
    <row r="63" spans="1:9" x14ac:dyDescent="0.35">
      <c r="A63" s="4">
        <f t="shared" si="0"/>
        <v>1990</v>
      </c>
      <c r="B63">
        <v>9.4162432291928708E-2</v>
      </c>
      <c r="C63">
        <v>9.0942630510975828E-2</v>
      </c>
      <c r="D63">
        <v>3.2198017809528866E-3</v>
      </c>
      <c r="E63">
        <v>1.8536157769228012E-2</v>
      </c>
      <c r="G63">
        <v>5963.1</v>
      </c>
      <c r="H63">
        <v>561.50000000000011</v>
      </c>
      <c r="I63">
        <v>542.29999999999995</v>
      </c>
    </row>
    <row r="64" spans="1:9" x14ac:dyDescent="0.35">
      <c r="A64" s="4">
        <f t="shared" si="0"/>
        <v>1991</v>
      </c>
      <c r="B64">
        <v>9.7140351731865346E-2</v>
      </c>
      <c r="C64">
        <v>9.8796706776440799E-2</v>
      </c>
      <c r="D64">
        <v>-1.6563550445754444E-3</v>
      </c>
      <c r="E64">
        <v>-9.2301662983906851E-4</v>
      </c>
      <c r="G64">
        <v>6158.1</v>
      </c>
      <c r="H64">
        <v>598.20000000000005</v>
      </c>
      <c r="I64">
        <v>608.40000000000009</v>
      </c>
    </row>
    <row r="65" spans="1:9" x14ac:dyDescent="0.35">
      <c r="A65" s="4">
        <f t="shared" si="0"/>
        <v>1992</v>
      </c>
      <c r="B65">
        <v>8.8584881063754714E-2</v>
      </c>
      <c r="C65">
        <v>0.10201984571262059</v>
      </c>
      <c r="D65">
        <v>-1.343496464886587E-2</v>
      </c>
      <c r="E65">
        <v>3.4588425551272728E-2</v>
      </c>
      <c r="G65">
        <v>6520.3</v>
      </c>
      <c r="H65">
        <v>577.59999999999991</v>
      </c>
      <c r="I65">
        <v>665.2</v>
      </c>
    </row>
    <row r="66" spans="1:9" x14ac:dyDescent="0.35">
      <c r="A66" s="4">
        <f t="shared" si="0"/>
        <v>1993</v>
      </c>
      <c r="B66">
        <v>9.0776543317878294E-2</v>
      </c>
      <c r="C66">
        <v>9.9932930918846391E-2</v>
      </c>
      <c r="D66">
        <v>-9.156387600968088E-3</v>
      </c>
      <c r="E66">
        <v>2.7152293783215598E-2</v>
      </c>
      <c r="G66">
        <v>6858.6</v>
      </c>
      <c r="H66">
        <v>622.60000000000014</v>
      </c>
      <c r="I66">
        <v>685.39999999999986</v>
      </c>
    </row>
    <row r="67" spans="1:9" x14ac:dyDescent="0.35">
      <c r="A67" s="4">
        <f t="shared" si="0"/>
        <v>1994</v>
      </c>
      <c r="B67">
        <v>9.5400153694148657E-2</v>
      </c>
      <c r="C67">
        <v>9.4672851026457366E-2</v>
      </c>
      <c r="D67">
        <v>7.2730266769128809E-4</v>
      </c>
      <c r="E67">
        <v>3.9524547402539412E-2</v>
      </c>
      <c r="G67">
        <v>7287.2</v>
      </c>
      <c r="H67">
        <v>695.2</v>
      </c>
      <c r="I67">
        <v>689.90000000000009</v>
      </c>
    </row>
    <row r="68" spans="1:9" x14ac:dyDescent="0.35">
      <c r="A68" s="4">
        <f t="shared" ref="A68:A91" si="1">A67+1</f>
        <v>1995</v>
      </c>
      <c r="B68">
        <v>9.8564079741351104E-2</v>
      </c>
      <c r="C68">
        <v>9.3432988206343201E-2</v>
      </c>
      <c r="D68">
        <v>5.1310915350078956E-3</v>
      </c>
      <c r="E68">
        <v>2.6457886768022298E-2</v>
      </c>
      <c r="G68">
        <v>7639.7</v>
      </c>
      <c r="H68">
        <v>753</v>
      </c>
      <c r="I68">
        <v>713.80000000000018</v>
      </c>
    </row>
    <row r="69" spans="1:9" x14ac:dyDescent="0.35">
      <c r="A69" s="4">
        <f t="shared" si="1"/>
        <v>1996</v>
      </c>
      <c r="B69">
        <v>0.10215406721086076</v>
      </c>
      <c r="C69">
        <v>9.0126469385985536E-2</v>
      </c>
      <c r="D69">
        <v>1.2027597824875219E-2</v>
      </c>
      <c r="E69">
        <v>3.7059826494179049E-2</v>
      </c>
      <c r="G69">
        <v>8073.1</v>
      </c>
      <c r="H69">
        <v>824.7</v>
      </c>
      <c r="I69">
        <v>727.59999999999991</v>
      </c>
    </row>
    <row r="70" spans="1:9" x14ac:dyDescent="0.35">
      <c r="A70" s="4">
        <f t="shared" si="1"/>
        <v>1997</v>
      </c>
      <c r="B70">
        <v>0.10695299384443202</v>
      </c>
      <c r="C70">
        <v>8.6154635329229623E-2</v>
      </c>
      <c r="D70">
        <v>2.0798358515202398E-2</v>
      </c>
      <c r="E70">
        <v>4.3437405779237714E-2</v>
      </c>
      <c r="G70">
        <v>8577.6</v>
      </c>
      <c r="H70">
        <v>917.40000000000009</v>
      </c>
      <c r="I70">
        <v>739</v>
      </c>
    </row>
    <row r="71" spans="1:9" x14ac:dyDescent="0.35">
      <c r="A71" s="4">
        <f t="shared" si="1"/>
        <v>1998</v>
      </c>
      <c r="B71">
        <v>0.11016462903296995</v>
      </c>
      <c r="C71">
        <v>7.9986317694310832E-2</v>
      </c>
      <c r="D71">
        <v>3.0178311338659124E-2</v>
      </c>
      <c r="E71">
        <v>4.4056207607289899E-2</v>
      </c>
      <c r="G71">
        <v>9062.7999999999993</v>
      </c>
      <c r="H71">
        <v>998.4</v>
      </c>
      <c r="I71">
        <v>724.90000000000009</v>
      </c>
    </row>
    <row r="72" spans="1:9" x14ac:dyDescent="0.35">
      <c r="A72" s="4">
        <f t="shared" si="1"/>
        <v>1999</v>
      </c>
      <c r="B72">
        <v>0.1114041554611814</v>
      </c>
      <c r="C72">
        <v>7.7034898813170369E-2</v>
      </c>
      <c r="D72">
        <v>3.4369256648011048E-2</v>
      </c>
      <c r="E72">
        <v>4.6543941350239315E-2</v>
      </c>
      <c r="G72">
        <v>9630.7000000000007</v>
      </c>
      <c r="H72">
        <v>1072.8999999999999</v>
      </c>
      <c r="I72">
        <v>741.89999999999986</v>
      </c>
    </row>
    <row r="73" spans="1:9" x14ac:dyDescent="0.35">
      <c r="A73" s="4">
        <f t="shared" si="1"/>
        <v>2000</v>
      </c>
      <c r="B73">
        <v>0.11536923422061392</v>
      </c>
      <c r="C73">
        <v>7.4500356017674088E-2</v>
      </c>
      <c r="D73">
        <v>4.0868878202939829E-2</v>
      </c>
      <c r="E73">
        <v>4.0228746928185899E-2</v>
      </c>
      <c r="G73">
        <v>10252.299999999999</v>
      </c>
      <c r="H73">
        <v>1182.8</v>
      </c>
      <c r="I73">
        <v>763.8</v>
      </c>
    </row>
    <row r="74" spans="1:9" x14ac:dyDescent="0.35">
      <c r="A74" s="4">
        <f t="shared" si="1"/>
        <v>2001</v>
      </c>
      <c r="B74">
        <v>0.10635241641308661</v>
      </c>
      <c r="C74">
        <v>8.1630724451416586E-2</v>
      </c>
      <c r="D74">
        <v>2.4721691961670029E-2</v>
      </c>
      <c r="E74">
        <v>9.4273689769233115E-3</v>
      </c>
      <c r="G74">
        <v>10581.8</v>
      </c>
      <c r="H74">
        <v>1125.3999999999999</v>
      </c>
      <c r="I74">
        <v>863.8</v>
      </c>
    </row>
    <row r="75" spans="1:9" x14ac:dyDescent="0.35">
      <c r="A75" s="4">
        <f t="shared" si="1"/>
        <v>2002</v>
      </c>
      <c r="B75">
        <v>8.8328883361983843E-2</v>
      </c>
      <c r="C75">
        <v>9.2114406934640292E-2</v>
      </c>
      <c r="D75">
        <v>-3.7855235726564481E-3</v>
      </c>
      <c r="E75">
        <v>1.7829766317708717E-2</v>
      </c>
      <c r="G75">
        <v>10936.4</v>
      </c>
      <c r="H75">
        <v>966</v>
      </c>
      <c r="I75">
        <v>1007.4</v>
      </c>
    </row>
    <row r="76" spans="1:9" x14ac:dyDescent="0.35">
      <c r="A76" s="9">
        <f t="shared" si="1"/>
        <v>2003</v>
      </c>
      <c r="B76" s="1">
        <v>8.3084603166291404E-2</v>
      </c>
      <c r="C76" s="1">
        <v>9.9090607599797528E-2</v>
      </c>
      <c r="D76" s="1">
        <v>-1.6006004433506124E-2</v>
      </c>
      <c r="E76" s="1">
        <v>2.7929391007917026E-2</v>
      </c>
      <c r="G76">
        <v>11458.2</v>
      </c>
      <c r="H76">
        <v>952.00000000000023</v>
      </c>
      <c r="I76">
        <v>1135.4000000000001</v>
      </c>
    </row>
    <row r="77" spans="1:9" x14ac:dyDescent="0.35">
      <c r="A77" s="4">
        <f t="shared" si="1"/>
        <v>2004</v>
      </c>
      <c r="B77">
        <v>8.4044965898949511E-2</v>
      </c>
      <c r="C77">
        <v>9.8373138361020809E-2</v>
      </c>
      <c r="D77">
        <v>-1.4328172462071298E-2</v>
      </c>
      <c r="E77">
        <v>3.7426651417925783E-2</v>
      </c>
      <c r="G77">
        <v>12213.7</v>
      </c>
      <c r="H77">
        <v>1026.4999999999998</v>
      </c>
      <c r="I77">
        <v>1201.5</v>
      </c>
    </row>
    <row r="78" spans="1:9" x14ac:dyDescent="0.35">
      <c r="A78" s="4">
        <f t="shared" si="1"/>
        <v>2005</v>
      </c>
      <c r="B78">
        <v>9.3291195557123785E-2</v>
      </c>
      <c r="C78">
        <v>9.7617476949511381E-2</v>
      </c>
      <c r="D78">
        <v>-4.3262813923875924E-3</v>
      </c>
      <c r="E78">
        <v>3.4663217972627614E-2</v>
      </c>
      <c r="G78">
        <v>13036.6</v>
      </c>
      <c r="H78">
        <v>1216.2</v>
      </c>
      <c r="I78">
        <v>1272.6000000000001</v>
      </c>
    </row>
    <row r="79" spans="1:9" x14ac:dyDescent="0.35">
      <c r="A79" s="4">
        <f t="shared" si="1"/>
        <v>2006</v>
      </c>
      <c r="B79">
        <v>0.10043721859481995</v>
      </c>
      <c r="C79">
        <v>9.8251125620720095E-2</v>
      </c>
      <c r="D79">
        <v>2.1860929740998522E-3</v>
      </c>
      <c r="E79">
        <v>2.7909033890684221E-2</v>
      </c>
      <c r="G79">
        <v>13814.6</v>
      </c>
      <c r="H79">
        <v>1387.4999999999998</v>
      </c>
      <c r="I79">
        <v>1357.3</v>
      </c>
    </row>
    <row r="80" spans="1:9" x14ac:dyDescent="0.35">
      <c r="A80" s="4">
        <f t="shared" si="1"/>
        <v>2007</v>
      </c>
      <c r="B80">
        <v>0.10025671365010828</v>
      </c>
      <c r="C80">
        <v>9.9592441132307877E-2</v>
      </c>
      <c r="D80">
        <v>6.6427251780040557E-4</v>
      </c>
      <c r="E80">
        <v>1.8544421933166966E-2</v>
      </c>
      <c r="G80">
        <v>14451.9</v>
      </c>
      <c r="H80">
        <v>1448.8999999999999</v>
      </c>
      <c r="I80">
        <v>1439.3000000000002</v>
      </c>
    </row>
    <row r="81" spans="1:9" x14ac:dyDescent="0.35">
      <c r="A81" s="4">
        <f t="shared" si="1"/>
        <v>2008</v>
      </c>
      <c r="B81">
        <v>8.9976075254200427E-2</v>
      </c>
      <c r="C81">
        <v>0.115348540046762</v>
      </c>
      <c r="D81">
        <v>-2.5372464792561576E-2</v>
      </c>
      <c r="E81">
        <v>-1.0203643493378323E-3</v>
      </c>
      <c r="G81">
        <v>14712.8</v>
      </c>
      <c r="H81">
        <v>1323.8</v>
      </c>
      <c r="I81">
        <v>1697.1</v>
      </c>
    </row>
    <row r="82" spans="1:9" x14ac:dyDescent="0.35">
      <c r="A82" s="4">
        <f t="shared" si="1"/>
        <v>2009</v>
      </c>
      <c r="B82">
        <v>6.8143595706247534E-2</v>
      </c>
      <c r="C82">
        <v>0.13831502744153537</v>
      </c>
      <c r="D82">
        <v>-7.0171431735287851E-2</v>
      </c>
      <c r="E82">
        <v>-2.5866584927598524E-2</v>
      </c>
      <c r="G82">
        <v>14448.9</v>
      </c>
      <c r="H82">
        <v>984.59999999999991</v>
      </c>
      <c r="I82">
        <v>1998.5000000000005</v>
      </c>
    </row>
    <row r="83" spans="1:9" x14ac:dyDescent="0.35">
      <c r="A83" s="4">
        <f t="shared" si="1"/>
        <v>2010</v>
      </c>
      <c r="B83">
        <v>7.7334062606305987E-2</v>
      </c>
      <c r="C83">
        <v>0.14895178127146963</v>
      </c>
      <c r="D83">
        <v>-7.1617718665163643E-2</v>
      </c>
      <c r="E83">
        <v>2.5288509797444014E-2</v>
      </c>
      <c r="G83">
        <v>14992.1</v>
      </c>
      <c r="H83">
        <v>1159.4000000000001</v>
      </c>
      <c r="I83">
        <v>2233.1</v>
      </c>
    </row>
    <row r="84" spans="1:9" x14ac:dyDescent="0.35">
      <c r="A84" s="4">
        <f t="shared" si="1"/>
        <v>2011</v>
      </c>
      <c r="B84">
        <v>8.6285434869326882E-2</v>
      </c>
      <c r="C84">
        <v>0.14742707140375483</v>
      </c>
      <c r="D84">
        <v>-6.1141636534427925E-2</v>
      </c>
      <c r="E84">
        <v>1.5434526201237198E-2</v>
      </c>
      <c r="G84">
        <v>15542.6</v>
      </c>
      <c r="H84">
        <v>1341.1000000000001</v>
      </c>
      <c r="I84">
        <v>2291.3999999999996</v>
      </c>
    </row>
    <row r="85" spans="1:9" x14ac:dyDescent="0.35">
      <c r="A85" s="4">
        <f t="shared" si="1"/>
        <v>2012</v>
      </c>
      <c r="B85">
        <v>9.007840958202136E-2</v>
      </c>
      <c r="C85">
        <v>0.13845156510464901</v>
      </c>
      <c r="D85">
        <v>-4.8373155522627651E-2</v>
      </c>
      <c r="E85">
        <v>2.2180896053490606E-2</v>
      </c>
      <c r="G85">
        <v>16197</v>
      </c>
      <c r="H85">
        <v>1459</v>
      </c>
      <c r="I85">
        <v>2242.5</v>
      </c>
    </row>
    <row r="86" spans="1:9" x14ac:dyDescent="0.35">
      <c r="A86" s="4">
        <f t="shared" si="1"/>
        <v>2013</v>
      </c>
      <c r="B86">
        <v>0.10308074519359663</v>
      </c>
      <c r="C86">
        <v>0.12394473604251439</v>
      </c>
      <c r="D86">
        <v>-2.0863990848917765E-2</v>
      </c>
      <c r="E86">
        <v>1.8078975793153873E-2</v>
      </c>
      <c r="G86">
        <v>16784.900000000001</v>
      </c>
      <c r="H86">
        <v>1730.2000000000003</v>
      </c>
      <c r="I86">
        <v>2080.4</v>
      </c>
    </row>
    <row r="87" spans="1:9" x14ac:dyDescent="0.35">
      <c r="A87" s="4">
        <f t="shared" si="1"/>
        <v>2014</v>
      </c>
      <c r="B87">
        <v>0.10408334426865518</v>
      </c>
      <c r="C87">
        <v>0.12078871246569639</v>
      </c>
      <c r="D87">
        <v>-1.6705368197041225E-2</v>
      </c>
      <c r="E87">
        <v>2.5033940781281849E-2</v>
      </c>
      <c r="G87">
        <v>17527.3</v>
      </c>
      <c r="H87">
        <v>1824.2999999999997</v>
      </c>
      <c r="I87">
        <v>2117.1000000000004</v>
      </c>
    </row>
    <row r="88" spans="1:9" x14ac:dyDescent="0.35">
      <c r="A88" s="4">
        <f t="shared" si="1"/>
        <v>2015</v>
      </c>
      <c r="B88">
        <v>0.10612462139502217</v>
      </c>
      <c r="C88">
        <v>0.12081888415785083</v>
      </c>
      <c r="D88">
        <v>-1.4694262762828659E-2</v>
      </c>
      <c r="E88">
        <v>2.9030035279621558E-2</v>
      </c>
      <c r="G88">
        <v>18224.8</v>
      </c>
      <c r="H88">
        <v>1934.1</v>
      </c>
      <c r="I88">
        <v>2201.8999999999996</v>
      </c>
    </row>
    <row r="89" spans="1:9" x14ac:dyDescent="0.35">
      <c r="A89" s="4">
        <f t="shared" si="1"/>
        <v>2016</v>
      </c>
      <c r="B89">
        <v>0.10154421586962328</v>
      </c>
      <c r="C89">
        <v>0.12029922522041143</v>
      </c>
      <c r="D89">
        <v>-1.8755009350788152E-2</v>
      </c>
      <c r="E89">
        <v>1.6259610246205369E-2</v>
      </c>
      <c r="G89">
        <v>18715</v>
      </c>
      <c r="H89">
        <v>1900.3999999999999</v>
      </c>
      <c r="I89">
        <v>2251.4</v>
      </c>
    </row>
    <row r="90" spans="1:9" x14ac:dyDescent="0.35">
      <c r="A90" s="4">
        <f t="shared" si="1"/>
        <v>2017</v>
      </c>
      <c r="B90">
        <v>9.729807268666045E-2</v>
      </c>
      <c r="C90">
        <v>0.11713987110259536</v>
      </c>
      <c r="D90">
        <v>-1.9841798415934912E-2</v>
      </c>
      <c r="E90">
        <v>2.3119151581214581E-2</v>
      </c>
      <c r="G90">
        <v>19519.400000000001</v>
      </c>
      <c r="H90">
        <v>1899.2</v>
      </c>
      <c r="I90">
        <v>2286.5</v>
      </c>
    </row>
    <row r="91" spans="1:9" x14ac:dyDescent="0.35">
      <c r="A91" s="4">
        <f t="shared" si="1"/>
        <v>2018</v>
      </c>
      <c r="B91">
        <v>8.6583220765590219E-2</v>
      </c>
      <c r="C91">
        <v>0.11716601393572464</v>
      </c>
      <c r="D91">
        <v>-3.0582793170134414E-2</v>
      </c>
      <c r="E91">
        <v>2.920480386231894E-2</v>
      </c>
      <c r="G91">
        <v>20580.2</v>
      </c>
      <c r="H91">
        <v>1781.8999999999999</v>
      </c>
      <c r="I91">
        <v>2411.3000000000002</v>
      </c>
    </row>
    <row r="92" spans="1:9" x14ac:dyDescent="0.35">
      <c r="A92" s="4">
        <v>2019</v>
      </c>
      <c r="B92">
        <v>8.5002123419685729E-2</v>
      </c>
      <c r="C92">
        <v>0.12161827914335183</v>
      </c>
      <c r="D92">
        <v>-3.6616155723666104E-2</v>
      </c>
      <c r="E92">
        <v>2.2700909127639335E-2</v>
      </c>
      <c r="G92">
        <v>21427.7</v>
      </c>
      <c r="H92">
        <v>1821.3999999999999</v>
      </c>
      <c r="I92">
        <v>2606</v>
      </c>
    </row>
    <row r="94" spans="1:9" x14ac:dyDescent="0.35">
      <c r="A94" s="4"/>
      <c r="B94" s="8"/>
      <c r="C94" s="8"/>
      <c r="D94" s="8"/>
      <c r="E94" s="8"/>
    </row>
    <row r="95" spans="1:9" x14ac:dyDescent="0.35">
      <c r="A95" s="4"/>
      <c r="B95" s="8"/>
      <c r="C95" s="8"/>
      <c r="D95" s="8"/>
      <c r="E95" s="8"/>
    </row>
    <row r="96" spans="1:9" x14ac:dyDescent="0.35">
      <c r="A96"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VAR2</vt:lpstr>
      <vt:lpstr>VAR_international</vt:lpstr>
      <vt:lpstr>Fiscal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xzhang</dc:creator>
  <cp:lastModifiedBy>Zhengyang Jiang</cp:lastModifiedBy>
  <dcterms:created xsi:type="dcterms:W3CDTF">2020-04-04T21:28:58Z</dcterms:created>
  <dcterms:modified xsi:type="dcterms:W3CDTF">2024-04-16T16:16:38Z</dcterms:modified>
</cp:coreProperties>
</file>