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z4895/Dropbox/Mac (2)/Downloads/"/>
    </mc:Choice>
  </mc:AlternateContent>
  <xr:revisionPtr revIDLastSave="0" documentId="13_ncr:40009_{C7E6CD62-66EA-2646-922D-1E17BC4C75FD}" xr6:coauthVersionLast="47" xr6:coauthVersionMax="47" xr10:uidLastSave="{00000000-0000-0000-0000-000000000000}"/>
  <bookViews>
    <workbookView xWindow="0" yWindow="740" windowWidth="34560" windowHeight="21600" activeTab="1"/>
  </bookViews>
  <sheets>
    <sheet name="Sheet1" sheetId="1" r:id="rId1"/>
    <sheet name="levera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F61" i="1" l="1"/>
  <c r="H60" i="1"/>
  <c r="I60" i="1"/>
  <c r="J60" i="1"/>
  <c r="K60" i="1"/>
  <c r="L60" i="1"/>
  <c r="L61" i="1" s="1"/>
  <c r="M60" i="1"/>
  <c r="M61" i="1" s="1"/>
  <c r="N60" i="1"/>
  <c r="N61" i="1" s="1"/>
  <c r="O60" i="1"/>
  <c r="O61" i="1" s="1"/>
  <c r="P60" i="1"/>
  <c r="P61" i="1" s="1"/>
  <c r="Q60" i="1"/>
  <c r="Q61" i="1" s="1"/>
  <c r="R60" i="1"/>
  <c r="S60" i="1"/>
  <c r="T60" i="1"/>
  <c r="U60" i="1"/>
  <c r="V60" i="1"/>
  <c r="V61" i="1" s="1"/>
  <c r="W60" i="1"/>
  <c r="W61" i="1" s="1"/>
  <c r="X60" i="1"/>
  <c r="X61" i="1" s="1"/>
  <c r="Y60" i="1"/>
  <c r="Y61" i="1" s="1"/>
  <c r="Z60" i="1"/>
  <c r="Z61" i="1" s="1"/>
  <c r="AA60" i="1"/>
  <c r="AA61" i="1" s="1"/>
  <c r="AB60" i="1"/>
  <c r="AC60" i="1"/>
  <c r="AD60" i="1"/>
  <c r="AE60" i="1"/>
  <c r="AF60" i="1"/>
  <c r="AF61" i="1" s="1"/>
  <c r="AG60" i="1"/>
  <c r="AG61" i="1" s="1"/>
  <c r="AH60" i="1"/>
  <c r="AH61" i="1" s="1"/>
  <c r="AI60" i="1"/>
  <c r="AI61" i="1" s="1"/>
  <c r="AJ60" i="1"/>
  <c r="AJ61" i="1" s="1"/>
  <c r="AK60" i="1"/>
  <c r="AK61" i="1" s="1"/>
  <c r="AL60" i="1"/>
  <c r="AM60" i="1"/>
  <c r="AN60" i="1"/>
  <c r="AO60" i="1"/>
  <c r="AP60" i="1"/>
  <c r="AP61" i="1" s="1"/>
  <c r="AQ60" i="1"/>
  <c r="AQ61" i="1" s="1"/>
  <c r="AR60" i="1"/>
  <c r="AR61" i="1" s="1"/>
  <c r="AS60" i="1"/>
  <c r="AS61" i="1" s="1"/>
  <c r="AT60" i="1"/>
  <c r="AT61" i="1" s="1"/>
  <c r="AU60" i="1"/>
  <c r="AU61" i="1" s="1"/>
  <c r="AV60" i="1"/>
  <c r="AW60" i="1"/>
  <c r="AX60" i="1"/>
  <c r="AY60" i="1"/>
  <c r="AZ60" i="1"/>
  <c r="AZ61" i="1" s="1"/>
  <c r="BA60" i="1"/>
  <c r="BA61" i="1" s="1"/>
  <c r="BB60" i="1"/>
  <c r="BB61" i="1" s="1"/>
  <c r="BC60" i="1"/>
  <c r="BC61" i="1" s="1"/>
  <c r="BD60" i="1"/>
  <c r="BD61" i="1" s="1"/>
  <c r="BE60" i="1"/>
  <c r="BE61" i="1" s="1"/>
  <c r="BF60" i="1"/>
  <c r="BG60" i="1"/>
  <c r="BH60" i="1"/>
  <c r="BI60" i="1"/>
  <c r="BJ60" i="1"/>
  <c r="BJ61" i="1" s="1"/>
  <c r="BK60" i="1"/>
  <c r="BK61" i="1" s="1"/>
  <c r="BL60" i="1"/>
  <c r="BL61" i="1" s="1"/>
  <c r="BM60" i="1"/>
  <c r="BM61" i="1" s="1"/>
  <c r="BN60" i="1"/>
  <c r="BN61" i="1" s="1"/>
  <c r="BO60" i="1"/>
  <c r="BO61" i="1" s="1"/>
  <c r="BP60" i="1"/>
  <c r="BQ60" i="1"/>
  <c r="BR60" i="1"/>
  <c r="BS60" i="1"/>
  <c r="BT60" i="1"/>
  <c r="BT61" i="1" s="1"/>
  <c r="BU60" i="1"/>
  <c r="BU61" i="1" s="1"/>
  <c r="BV60" i="1"/>
  <c r="BV61" i="1" s="1"/>
  <c r="BW60" i="1"/>
  <c r="BW61" i="1" s="1"/>
  <c r="BX60" i="1"/>
  <c r="BX61" i="1" s="1"/>
  <c r="BY60" i="1"/>
  <c r="BY61" i="1" s="1"/>
  <c r="BZ60" i="1"/>
  <c r="CA60" i="1"/>
  <c r="CB60" i="1"/>
  <c r="CC60" i="1"/>
  <c r="CD60" i="1"/>
  <c r="CD61" i="1" s="1"/>
  <c r="CE60" i="1"/>
  <c r="CE61" i="1" s="1"/>
  <c r="H61" i="1"/>
  <c r="I61" i="1"/>
  <c r="J61" i="1"/>
  <c r="K61" i="1"/>
  <c r="R61" i="1"/>
  <c r="S61" i="1"/>
  <c r="T61" i="1"/>
  <c r="U61" i="1"/>
  <c r="AB61" i="1"/>
  <c r="AC61" i="1"/>
  <c r="AD61" i="1"/>
  <c r="AE61" i="1"/>
  <c r="AL61" i="1"/>
  <c r="AM61" i="1"/>
  <c r="AN61" i="1"/>
  <c r="AO61" i="1"/>
  <c r="AV61" i="1"/>
  <c r="AW61" i="1"/>
  <c r="AX61" i="1"/>
  <c r="AY61" i="1"/>
  <c r="BF61" i="1"/>
  <c r="BG61" i="1"/>
  <c r="BH61" i="1"/>
  <c r="BI61" i="1"/>
  <c r="BP61" i="1"/>
  <c r="BQ61" i="1"/>
  <c r="BR61" i="1"/>
  <c r="BS61" i="1"/>
  <c r="BZ61" i="1"/>
  <c r="CA61" i="1"/>
  <c r="CB61" i="1"/>
  <c r="CC61" i="1"/>
  <c r="G61" i="1"/>
  <c r="G60" i="1"/>
</calcChain>
</file>

<file path=xl/sharedStrings.xml><?xml version="1.0" encoding="utf-8"?>
<sst xmlns="http://schemas.openxmlformats.org/spreadsheetml/2006/main" count="441" uniqueCount="258">
  <si>
    <t>Download Page</t>
  </si>
  <si>
    <t>Z.1 Statistical Release for Jun 09, 2022</t>
  </si>
  <si>
    <t>Descriptions:</t>
  </si>
  <si>
    <t>Unit:</t>
  </si>
  <si>
    <t>Multiplier:</t>
  </si>
  <si>
    <t>Currency:</t>
  </si>
  <si>
    <t>Unique Identifier:</t>
  </si>
  <si>
    <t>Series Name: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</si>
  <si>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</si>
  <si>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</si>
  <si>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</si>
  <si>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</si>
  <si>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</si>
  <si>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</si>
  <si>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</si>
  <si>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</si>
  <si>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</si>
  <si>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</si>
  <si>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</si>
  <si>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</si>
  <si>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</si>
  <si>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</si>
  <si>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</si>
  <si>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</si>
  <si>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</si>
  <si>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</si>
  <si>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</si>
  <si>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</si>
  <si>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</si>
  <si>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</si>
  <si>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</si>
  <si>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</si>
  <si>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</si>
  <si>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</si>
  <si>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</si>
  <si>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</si>
  <si>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</si>
  <si>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</si>
  <si>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</si>
  <si>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</si>
  <si>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</si>
  <si>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</si>
  <si>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</si>
  <si>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</si>
  <si>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</si>
  <si>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</si>
  <si>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</si>
  <si>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</si>
  <si>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</si>
  <si>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</si>
  <si>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</si>
  <si>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</si>
  <si>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</si>
  <si>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</si>
  <si>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</si>
  <si>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</si>
  <si>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</si>
  <si>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</si>
  <si>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</si>
  <si>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</si>
  <si>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</si>
  <si>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</si>
  <si>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</si>
  <si>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</si>
  <si>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</si>
  <si>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</si>
  <si>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</si>
  <si>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</si>
  <si>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</si>
  <si>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</si>
  <si>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</si>
  <si>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</si>
  <si>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</si>
  <si>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</si>
  <si>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</si>
  <si>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</si>
  <si>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</si>
  <si>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</si>
  <si>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</si>
  <si>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</si>
  <si>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</si>
  <si>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</si>
  <si>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</si>
  <si>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</si>
  <si>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</si>
  <si>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Nonfinancial corporate business; total assets</t>
  </si>
  <si>
    <t>Currency</t>
  </si>
  <si>
    <t>USD</t>
  </si>
  <si>
    <t>Z1/Z1/FL102000005.A</t>
  </si>
  <si>
    <t>FL102000005.A</t>
  </si>
  <si>
    <t>Nonfinancial corporate business; nonfinancial assets</t>
  </si>
  <si>
    <t>Z1/Z1/LM102010005.A</t>
  </si>
  <si>
    <t>LM102010005.A</t>
  </si>
  <si>
    <t>Nonfinancial corporate business; real estate at market value</t>
  </si>
  <si>
    <t>Z1/Z1/LM105035005.A</t>
  </si>
  <si>
    <t>LM105035005.A</t>
  </si>
  <si>
    <t xml:space="preserve">Nonfinancial corporate business; equipment, current cost basis </t>
  </si>
  <si>
    <t>Z1/Z1/LM105015205.A</t>
  </si>
  <si>
    <t>LM105015205.A</t>
  </si>
  <si>
    <t>Nonfinancial corporate business; nonresidential intellectual property products, current cost basis</t>
  </si>
  <si>
    <t>Z1/Z1/LM105013765.A</t>
  </si>
  <si>
    <t>LM105013765.A</t>
  </si>
  <si>
    <t>Nonfinancial corporate business; inventories excluding IVA, current cost basis</t>
  </si>
  <si>
    <t>Z1/Z1/LM105020015.A</t>
  </si>
  <si>
    <t>LM105020015.A</t>
  </si>
  <si>
    <t>Nonfinancial corporate business; total financial assets</t>
  </si>
  <si>
    <t>Z1/Z1/FL104090005.A</t>
  </si>
  <si>
    <t>FL104090005.A</t>
  </si>
  <si>
    <t>Nonfinancial corporate business; private foreign deposits; asset</t>
  </si>
  <si>
    <t>Z1/Z1/FL103091003.A</t>
  </si>
  <si>
    <t>FL103091003.A</t>
  </si>
  <si>
    <t>Nonfinancial corporate business; checkable deposits and currency; asset</t>
  </si>
  <si>
    <t>Z1/Z1/FL103020000.A</t>
  </si>
  <si>
    <t>FL103020000.A</t>
  </si>
  <si>
    <t>Nonfinancial corporate business; total time and savings deposits; asset</t>
  </si>
  <si>
    <t>Z1/Z1/FL103030003.A</t>
  </si>
  <si>
    <t>FL103030003.A</t>
  </si>
  <si>
    <t>Nonfinancial corporate business; money market fund shares; asset</t>
  </si>
  <si>
    <t>Z1/Z1/FL103034000.A</t>
  </si>
  <si>
    <t>FL103034000.A</t>
  </si>
  <si>
    <t>Nonfinancial corporate business; security repurchase agreements; asset</t>
  </si>
  <si>
    <t>Z1/Z1/FL102051003.A</t>
  </si>
  <si>
    <t>FL102051003.A</t>
  </si>
  <si>
    <t>Nonfinancial corporate business; debt securities; asset</t>
  </si>
  <si>
    <t>Z1/Z1/LM104022005.A</t>
  </si>
  <si>
    <t>LM104022005.A</t>
  </si>
  <si>
    <t>Nonfinancial corporate business; commercial paper; asset</t>
  </si>
  <si>
    <t>Z1/Z1/FL103069100.A</t>
  </si>
  <si>
    <t>FL103069100.A</t>
  </si>
  <si>
    <t>Nonfinancial corporate business; Treasury securities; asset</t>
  </si>
  <si>
    <t>Z1/Z1/LM103061103.A</t>
  </si>
  <si>
    <t>LM103061103.A</t>
  </si>
  <si>
    <t>Nonfinancial corporate business; agency- and GSE-backed securities; asset</t>
  </si>
  <si>
    <t>Z1/Z1/LM103061703.A</t>
  </si>
  <si>
    <t>LM103061703.A</t>
  </si>
  <si>
    <t>Nonfinancial corporate business; municipal securities; asset</t>
  </si>
  <si>
    <t>Z1/Z1/LM103062003.A</t>
  </si>
  <si>
    <t>LM103062003.A</t>
  </si>
  <si>
    <t>Nonfinancial corporate business; loans; asset</t>
  </si>
  <si>
    <t>Z1/Z1/FL104023005.A</t>
  </si>
  <si>
    <t>FL104023005.A</t>
  </si>
  <si>
    <t>Nonfinancial corporate business; total mortgages; asset</t>
  </si>
  <si>
    <t>Z1/Z1/FL103065003.A</t>
  </si>
  <si>
    <t>FL103065003.A</t>
  </si>
  <si>
    <t>Nonfinancial corporate business; consumer credit; asset</t>
  </si>
  <si>
    <t>Z1/Z1/FL103066005.A</t>
  </si>
  <si>
    <t>FL103066005.A</t>
  </si>
  <si>
    <t>Nonfinancial corporate business; corporate equities; asset</t>
  </si>
  <si>
    <t>Z1/Z1/LM103064103.A</t>
  </si>
  <si>
    <t>LM103064103.A</t>
  </si>
  <si>
    <t>Nonfinancial corporate business; mutual fund shares; asset</t>
  </si>
  <si>
    <t>Z1/Z1/LM103064203.A</t>
  </si>
  <si>
    <t>LM103064203.A</t>
  </si>
  <si>
    <t>Nonfinancial corporate business; trade receivables; asset</t>
  </si>
  <si>
    <t>Z1/Z1/FL103070005.A</t>
  </si>
  <si>
    <t>FL103070005.A</t>
  </si>
  <si>
    <t>Nonfinancial corporate business; U.S. direct investment abroad (market value); asset</t>
  </si>
  <si>
    <t>Z1/Z1/LM103092005.A</t>
  </si>
  <si>
    <t>LM103092005.A</t>
  </si>
  <si>
    <t>Nonfinancial corporate business; total miscellaneous assets</t>
  </si>
  <si>
    <t>Z1/Z1/FL103090005.A</t>
  </si>
  <si>
    <t>FL103090005.A</t>
  </si>
  <si>
    <t>Nonfinancial corporate business; total liabilities</t>
  </si>
  <si>
    <t>Z1/Z1/FL104190005.A</t>
  </si>
  <si>
    <t>FL104190005.A</t>
  </si>
  <si>
    <t>Nonfinancial corporate business; debt securities; liability</t>
  </si>
  <si>
    <t>Z1/Z1/FL104122005.A</t>
  </si>
  <si>
    <t>FL104122005.A</t>
  </si>
  <si>
    <t>Nonfinancial corporate business; commercial paper; liability</t>
  </si>
  <si>
    <t>Z1/Z1/FL103169100.A</t>
  </si>
  <si>
    <t>FL103169100.A</t>
  </si>
  <si>
    <t>Nonfinancial corporate business; municipal securities; liability</t>
  </si>
  <si>
    <t>Z1/Z1/FL103162000.A</t>
  </si>
  <si>
    <t>FL103162000.A</t>
  </si>
  <si>
    <t>Nonfinancial corporate business; corporate bonds; liability</t>
  </si>
  <si>
    <t>Z1/Z1/FL103163003.A</t>
  </si>
  <si>
    <t>FL103163003.A</t>
  </si>
  <si>
    <t>Nonfinancial corporate business; loans; liability</t>
  </si>
  <si>
    <t>Z1/Z1/FL104123005.A</t>
  </si>
  <si>
    <t>FL104123005.A</t>
  </si>
  <si>
    <t>Nonfinancial corporate business; depository institution loans n.e.c.; liability</t>
  </si>
  <si>
    <t>Z1/Z1/FL103168005.A</t>
  </si>
  <si>
    <t>FL103168005.A</t>
  </si>
  <si>
    <t>Nonfinancial corporate business; other loans and advances; liability</t>
  </si>
  <si>
    <t>Z1/Z1/FL103169005.A</t>
  </si>
  <si>
    <t>FL103169005.A</t>
  </si>
  <si>
    <t>Nonfinancial corporate business; total mortgages; liability</t>
  </si>
  <si>
    <t>Z1/Z1/FL103165005.A</t>
  </si>
  <si>
    <t>FL103165005.A</t>
  </si>
  <si>
    <t>Nonfinancial corporate business; trade payables; liability</t>
  </si>
  <si>
    <t>Z1/Z1/FL103170005.A</t>
  </si>
  <si>
    <t>FL103170005.A</t>
  </si>
  <si>
    <t>Nonfinancial corporate business; total taxes payable; liability</t>
  </si>
  <si>
    <t>Z1/Z1/FL103178005.A</t>
  </si>
  <si>
    <t>FL103178005.A</t>
  </si>
  <si>
    <t>Nonfinancial corporate business; foreign direct investment in U.S.: intercompany debt; liability (market value)</t>
  </si>
  <si>
    <t>Z1/Z1/LM103192305.A</t>
  </si>
  <si>
    <t>LM103192305.A</t>
  </si>
  <si>
    <t>Nonfinancial corporate business; total miscellaneous liabilities</t>
  </si>
  <si>
    <t>Z1/Z1/FL103190005.A</t>
  </si>
  <si>
    <t>FL103190005.A</t>
  </si>
  <si>
    <t>Nonfinancial corporate business; net worth</t>
  </si>
  <si>
    <t>Z1/Z1/FL102090005.A</t>
  </si>
  <si>
    <t>FL102090005.A</t>
  </si>
  <si>
    <t>Nonfinancial corporate business; corporate equities; liability</t>
  </si>
  <si>
    <t>Z1/Z1/LM103164103.A</t>
  </si>
  <si>
    <t>LM103164103.A</t>
  </si>
  <si>
    <t>Nonfinancial corporate business; public corporate equities; liability (equal to total before 1996q4)</t>
  </si>
  <si>
    <t>Z1/Z1/LM103164113.A</t>
  </si>
  <si>
    <t>LM103164113.A</t>
  </si>
  <si>
    <t>Nonfinancial corporate business; closely held corporate equities; liability</t>
  </si>
  <si>
    <t>Z1/Z1/LM103164123.A</t>
  </si>
  <si>
    <t>LM103164123.A</t>
  </si>
  <si>
    <t>Nonfinancial corporate business; foreign direct investment in U.S.; liability (market value)</t>
  </si>
  <si>
    <t>Z1/Z1/LM103192105.A</t>
  </si>
  <si>
    <t>LM103192105.A</t>
  </si>
  <si>
    <t>Nonfinancial corporate business; corporate equities as a percentage of net worth</t>
  </si>
  <si>
    <t>Percent</t>
  </si>
  <si>
    <t>NA</t>
  </si>
  <si>
    <t>Z1/Z1/FL103164106.A</t>
  </si>
  <si>
    <t>FL103164106.A</t>
  </si>
  <si>
    <t xml:space="preserve">Nonfinancial corporate business; debt as a percentage of the market value of corporate equities </t>
  </si>
  <si>
    <t>Z1/Z1/FL104104016.A</t>
  </si>
  <si>
    <t>FL104104016.A</t>
  </si>
  <si>
    <t>Nonfinancial corporate business; debt as a percentage of net worth (market value)</t>
  </si>
  <si>
    <t>Z1/Z1/FL104104006.A</t>
  </si>
  <si>
    <t>FL104104006.A</t>
  </si>
  <si>
    <t>Nonfinancial corporate business; total assets at historical cost</t>
  </si>
  <si>
    <t>Z1/Z1/FL102000115.A</t>
  </si>
  <si>
    <t>FL102000115.A</t>
  </si>
  <si>
    <t>Nonfinancial corporate business; nonfinancial assets at historical cost</t>
  </si>
  <si>
    <t>Z1/Z1/FL102010115.A</t>
  </si>
  <si>
    <t>FL102010115.A</t>
  </si>
  <si>
    <t>Nonfinancial corporate business; real estate, historical cost basis</t>
  </si>
  <si>
    <t>Z1/Z1/FL105035045.A</t>
  </si>
  <si>
    <t>FL105035045.A</t>
  </si>
  <si>
    <t>Nonfinancial corporate business; nonresidential equipment, historical cost basis</t>
  </si>
  <si>
    <t>Z1/Z1/FL105013213.A</t>
  </si>
  <si>
    <t>FL105013213.A</t>
  </si>
  <si>
    <t>Nonfinancial corporate business; nonresidential intellectual property products, historical cost basis</t>
  </si>
  <si>
    <t>Z1/Z1/FL105013715.A</t>
  </si>
  <si>
    <t>FL105013715.A</t>
  </si>
  <si>
    <t>Nonfinancial corporate business; inventories, historical cost basis (SOI)</t>
  </si>
  <si>
    <t>Z1/Z1/FL105020000.A</t>
  </si>
  <si>
    <t>FL105020000.A</t>
  </si>
  <si>
    <t>Nonfinancial corporate business; net worth at historical cost</t>
  </si>
  <si>
    <t>Z1/Z1/FL102090115.A</t>
  </si>
  <si>
    <t>FL102090115.A</t>
  </si>
  <si>
    <t>Nonfinancial corporate business; residential structures, historical cost basis</t>
  </si>
  <si>
    <t>Z1/Z1/FL105012613.A</t>
  </si>
  <si>
    <t>FL105012613.A</t>
  </si>
  <si>
    <t>Nonfinancial corporate business; nonresidential structures, historical cost basis</t>
  </si>
  <si>
    <t>Z1/Z1/FL105013613.A</t>
  </si>
  <si>
    <t>FL105013613.A</t>
  </si>
  <si>
    <t>Debt</t>
  </si>
  <si>
    <t>Leverage (Debt/Asset)</t>
  </si>
  <si>
    <t>year</t>
  </si>
  <si>
    <t>lev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</si>
</sst>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name val="Times New Roman"/>
      <family val="1"/>
    </font>
    <font>
      <u/>
      <sz val="10"/>
      <color indexed="12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/>
    <xf numFmtId="0" fontId="19" fillId="33" borderId="0" xfId="0" applyFont="1" applyFill="1"/>
    <xf numFmtId="0" fontId="0" fillId="33" borderId="10" xfId="0" applyFill="1" applyBorder="1"/>
    <xf numFmtId="0" fontId="0" fillId="34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leverage!$B$1</c:f>
              <c:strCache>
                <c:ptCount val="1"/>
                <c:pt idx="0">
                  <c:v>lev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leverage!$B$2:$B$78</c:f>
              <c:numCache>
                <c:formatCode>General</c:formatCode>
                <c:ptCount val="77"/>
                <c:pt idx="0">
                  <c:v>0.15604480089462006</c:v>
                </c:pt>
                <c:pt idx="1">
                  <c:v>0.15981253924118755</c:v>
                </c:pt>
                <c:pt idx="2">
                  <c:v>0.15653775322283608</c:v>
                </c:pt>
                <c:pt idx="3">
                  <c:v>0.15862004525435372</c:v>
                </c:pt>
                <c:pt idx="4">
                  <c:v>0.15882576374192847</c:v>
                </c:pt>
                <c:pt idx="5">
                  <c:v>0.15577094888057391</c:v>
                </c:pt>
                <c:pt idx="6">
                  <c:v>0.15752963617660865</c:v>
                </c:pt>
                <c:pt idx="7">
                  <c:v>0.16231960355700012</c:v>
                </c:pt>
                <c:pt idx="8">
                  <c:v>0.16361983119578211</c:v>
                </c:pt>
                <c:pt idx="9">
                  <c:v>0.16579314384286947</c:v>
                </c:pt>
                <c:pt idx="10">
                  <c:v>0.16446894839383761</c:v>
                </c:pt>
                <c:pt idx="11">
                  <c:v>0.16503212564697484</c:v>
                </c:pt>
                <c:pt idx="12">
                  <c:v>0.17014506449269742</c:v>
                </c:pt>
                <c:pt idx="13">
                  <c:v>0.17461805498698194</c:v>
                </c:pt>
                <c:pt idx="14">
                  <c:v>0.17684048960660126</c:v>
                </c:pt>
                <c:pt idx="15">
                  <c:v>0.18426031743621091</c:v>
                </c:pt>
                <c:pt idx="16">
                  <c:v>0.1866466746618419</c:v>
                </c:pt>
                <c:pt idx="17">
                  <c:v>0.19130845923111942</c:v>
                </c:pt>
                <c:pt idx="18">
                  <c:v>0.19499045668004411</c:v>
                </c:pt>
                <c:pt idx="19">
                  <c:v>0.19891231980930668</c:v>
                </c:pt>
                <c:pt idx="20">
                  <c:v>0.20338537647097898</c:v>
                </c:pt>
                <c:pt idx="21">
                  <c:v>0.20993733173620743</c:v>
                </c:pt>
                <c:pt idx="22">
                  <c:v>0.21397266796659531</c:v>
                </c:pt>
                <c:pt idx="23">
                  <c:v>0.21875867448182518</c:v>
                </c:pt>
                <c:pt idx="24">
                  <c:v>0.22060758596929139</c:v>
                </c:pt>
                <c:pt idx="25">
                  <c:v>0.23204894059949679</c:v>
                </c:pt>
                <c:pt idx="26">
                  <c:v>0.22895227466147708</c:v>
                </c:pt>
                <c:pt idx="27">
                  <c:v>0.22770392978652049</c:v>
                </c:pt>
                <c:pt idx="28">
                  <c:v>0.2294982509787783</c:v>
                </c:pt>
                <c:pt idx="29">
                  <c:v>0.21617262979167823</c:v>
                </c:pt>
                <c:pt idx="30">
                  <c:v>0.1971197485304611</c:v>
                </c:pt>
                <c:pt idx="31">
                  <c:v>0.19094895738113363</c:v>
                </c:pt>
                <c:pt idx="32">
                  <c:v>0.19270400067889495</c:v>
                </c:pt>
                <c:pt idx="33">
                  <c:v>0.18787490996274905</c:v>
                </c:pt>
                <c:pt idx="34">
                  <c:v>0.18056950585757223</c:v>
                </c:pt>
                <c:pt idx="35">
                  <c:v>0.1712566040757646</c:v>
                </c:pt>
                <c:pt idx="36">
                  <c:v>0.17191511364375531</c:v>
                </c:pt>
                <c:pt idx="37">
                  <c:v>0.17690414382238914</c:v>
                </c:pt>
                <c:pt idx="38">
                  <c:v>0.18562398360159726</c:v>
                </c:pt>
                <c:pt idx="39">
                  <c:v>0.19982747027398345</c:v>
                </c:pt>
                <c:pt idx="40">
                  <c:v>0.21010812932649992</c:v>
                </c:pt>
                <c:pt idx="41">
                  <c:v>0.22874474754476473</c:v>
                </c:pt>
                <c:pt idx="42">
                  <c:v>0.236540953547558</c:v>
                </c:pt>
                <c:pt idx="43">
                  <c:v>0.24025677253306466</c:v>
                </c:pt>
                <c:pt idx="44">
                  <c:v>0.24626011694447089</c:v>
                </c:pt>
                <c:pt idx="45">
                  <c:v>0.25265020482109146</c:v>
                </c:pt>
                <c:pt idx="46">
                  <c:v>0.24763051360221325</c:v>
                </c:pt>
                <c:pt idx="47">
                  <c:v>0.24914897757874577</c:v>
                </c:pt>
                <c:pt idx="48">
                  <c:v>0.25154293331074684</c:v>
                </c:pt>
                <c:pt idx="49">
                  <c:v>0.25399552876488724</c:v>
                </c:pt>
                <c:pt idx="50">
                  <c:v>0.25303981620271354</c:v>
                </c:pt>
                <c:pt idx="51">
                  <c:v>0.24891521165054326</c:v>
                </c:pt>
                <c:pt idx="52">
                  <c:v>0.24530691984614808</c:v>
                </c:pt>
                <c:pt idx="53">
                  <c:v>0.24245867011904387</c:v>
                </c:pt>
                <c:pt idx="54">
                  <c:v>0.24066269172340279</c:v>
                </c:pt>
                <c:pt idx="55">
                  <c:v>0.22644102311009812</c:v>
                </c:pt>
                <c:pt idx="56">
                  <c:v>0.23155352978436536</c:v>
                </c:pt>
                <c:pt idx="57">
                  <c:v>0.22649452505323289</c:v>
                </c:pt>
                <c:pt idx="58">
                  <c:v>0.22227324700599232</c:v>
                </c:pt>
                <c:pt idx="59">
                  <c:v>0.2074601169232663</c:v>
                </c:pt>
                <c:pt idx="60">
                  <c:v>0.20023172550886306</c:v>
                </c:pt>
                <c:pt idx="61">
                  <c:v>0.19855134219868281</c:v>
                </c:pt>
                <c:pt idx="62">
                  <c:v>0.20353113078012669</c:v>
                </c:pt>
                <c:pt idx="63">
                  <c:v>0.22317018049755316</c:v>
                </c:pt>
                <c:pt idx="64">
                  <c:v>0.22542031165967594</c:v>
                </c:pt>
                <c:pt idx="65">
                  <c:v>0.22478609657826687</c:v>
                </c:pt>
                <c:pt idx="66">
                  <c:v>0.22625084280278707</c:v>
                </c:pt>
                <c:pt idx="67">
                  <c:v>0.22939151136361396</c:v>
                </c:pt>
                <c:pt idx="68">
                  <c:v>0.22352476879160682</c:v>
                </c:pt>
                <c:pt idx="69">
                  <c:v>0.22516519614039623</c:v>
                </c:pt>
                <c:pt idx="70">
                  <c:v>0.22677047596221256</c:v>
                </c:pt>
                <c:pt idx="71">
                  <c:v>0.22175315247632749</c:v>
                </c:pt>
                <c:pt idx="72">
                  <c:v>0.22237880049953901</c:v>
                </c:pt>
                <c:pt idx="73">
                  <c:v>0.2290626363100747</c:v>
                </c:pt>
                <c:pt idx="74">
                  <c:v>0.21855173903537303</c:v>
                </c:pt>
                <c:pt idx="75">
                  <c:v>0.23129106351809747</c:v>
                </c:pt>
                <c:pt idx="76">
                  <c:v>0.22093710270640177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D9-F548-9832-DC3D6855E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3950480"/>
        <c:axId val="1874193200"/>
      </c:lineChart>
      <c:catAx>
        <c:axId val="1873950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193200"/>
        <c:crosses val="autoZero"/>
        <c:auto val="1"/>
        <c:lblAlgn val="ctr"/>
        <c:lblOffset val="100"/>
        <c:noMultiLvlLbl val="0"/>
      </c:catAx>
      <c:valAx>
        <c:axId val="187419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95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285750</xdr:colOff>
      <xdr:row>11</xdr:row>
      <xdr:rowOff>12700</xdr:rowOff>
    </xdr:from>
    <xdr:to>
      <xdr:col>18</xdr:col>
      <xdr:colOff>533400</xdr:colOff>
      <xdr:row>40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80584F-DEBF-B423-EE91-0F20229A7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ederalreserve.gov/datadownload/Download.aspx?rel=Z1&amp;series=8f04ae1e123e920358c772c955740f08&amp;filetype=spreadsheetml&amp;label=include&amp;layout=seriesrow&amp;from=01/01/1945&amp;to=12/31/202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61"/>
  <sheetViews>
    <sheetView topLeftCell="A7" workbookViewId="0">
      <selection activeCell="G61" sqref="G61:CE61"/>
    </sheetView>
  </sheetViews>
  <sheetFormatPr baseColWidth="10" defaultRowHeight="13" x14ac:dyDescent="0.15"/>
  <cols>
    <col min="1" max="1" width="73.6640625" customWidth="1"/>
    <col min="2" max="2" width="5" customWidth="1"/>
    <col min="3" max="4" width="8.33203125" customWidth="1"/>
    <col min="5" max="6" width="13.33203125" customWidth="1"/>
  </cols>
  <sheetData>
    <row r="1" spans="1:83" s="1" customFormat="1" ht="18" x14ac:dyDescent="0.2">
      <c r="A1" s="2" t="s">
        <v>0</v>
      </c>
      <c r="F1" s="1" t="s">
        <v>1</v>
      </c>
    </row>
    <row r="2" spans="1:83" ht="14" thickBot="1" x14ac:dyDescent="0.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28</v>
      </c>
      <c r="AB2" s="3" t="s">
        <v>29</v>
      </c>
      <c r="AC2" s="3" t="s">
        <v>30</v>
      </c>
      <c r="AD2" s="3" t="s">
        <v>31</v>
      </c>
      <c r="AE2" s="3" t="s">
        <v>32</v>
      </c>
      <c r="AF2" s="3" t="s">
        <v>33</v>
      </c>
      <c r="AG2" s="3" t="s">
        <v>34</v>
      </c>
      <c r="AH2" s="3" t="s">
        <v>35</v>
      </c>
      <c r="AI2" s="3" t="s">
        <v>36</v>
      </c>
      <c r="AJ2" s="3" t="s">
        <v>37</v>
      </c>
      <c r="AK2" s="3" t="s">
        <v>38</v>
      </c>
      <c r="AL2" s="3" t="s">
        <v>39</v>
      </c>
      <c r="AM2" s="3" t="s">
        <v>40</v>
      </c>
      <c r="AN2" s="3" t="s">
        <v>41</v>
      </c>
      <c r="AO2" s="3" t="s">
        <v>42</v>
      </c>
      <c r="AP2" s="3" t="s">
        <v>43</v>
      </c>
      <c r="AQ2" s="3" t="s">
        <v>44</v>
      </c>
      <c r="AR2" s="3" t="s">
        <v>45</v>
      </c>
      <c r="AS2" s="3" t="s">
        <v>46</v>
      </c>
      <c r="AT2" s="3" t="s">
        <v>47</v>
      </c>
      <c r="AU2" s="3" t="s">
        <v>48</v>
      </c>
      <c r="AV2" s="3" t="s">
        <v>49</v>
      </c>
      <c r="AW2" s="3" t="s">
        <v>50</v>
      </c>
      <c r="AX2" s="3" t="s">
        <v>51</v>
      </c>
      <c r="AY2" s="3" t="s">
        <v>52</v>
      </c>
      <c r="AZ2" s="3" t="s">
        <v>53</v>
      </c>
      <c r="BA2" s="3" t="s">
        <v>54</v>
      </c>
      <c r="BB2" s="3" t="s">
        <v>55</v>
      </c>
      <c r="BC2" s="3" t="s">
        <v>56</v>
      </c>
      <c r="BD2" s="3" t="s">
        <v>57</v>
      </c>
      <c r="BE2" s="3" t="s">
        <v>58</v>
      </c>
      <c r="BF2" s="3" t="s">
        <v>59</v>
      </c>
      <c r="BG2" s="3" t="s">
        <v>60</v>
      </c>
      <c r="BH2" s="3" t="s">
        <v>61</v>
      </c>
      <c r="BI2" s="3" t="s">
        <v>62</v>
      </c>
      <c r="BJ2" s="3" t="s">
        <v>63</v>
      </c>
      <c r="BK2" s="3" t="s">
        <v>64</v>
      </c>
      <c r="BL2" s="3" t="s">
        <v>65</v>
      </c>
      <c r="BM2" s="3" t="s">
        <v>66</v>
      </c>
      <c r="BN2" s="3" t="s">
        <v>67</v>
      </c>
      <c r="BO2" s="3" t="s">
        <v>68</v>
      </c>
      <c r="BP2" s="3" t="s">
        <v>69</v>
      </c>
      <c r="BQ2" s="3" t="s">
        <v>70</v>
      </c>
      <c r="BR2" s="3" t="s">
        <v>71</v>
      </c>
      <c r="BS2" s="3" t="s">
        <v>72</v>
      </c>
      <c r="BT2" s="3" t="s">
        <v>73</v>
      </c>
      <c r="BU2" s="3" t="s">
        <v>74</v>
      </c>
      <c r="BV2" s="3" t="s">
        <v>75</v>
      </c>
      <c r="BW2" s="3" t="s">
        <v>76</v>
      </c>
      <c r="BX2" s="3" t="s">
        <v>77</v>
      </c>
      <c r="BY2" s="3" t="s">
        <v>78</v>
      </c>
      <c r="BZ2" s="3" t="s">
        <v>79</v>
      </c>
      <c r="CA2" s="3" t="s">
        <v>80</v>
      </c>
      <c r="CB2" s="3" t="s">
        <v>81</v>
      </c>
      <c r="CC2" s="3" t="s">
        <v>82</v>
      </c>
      <c r="CD2" s="3" t="s">
        <v>83</v>
      </c>
      <c r="CE2" s="3" t="s">
        <v>84</v>
      </c>
    </row>
    <row r="3" spans="1:83" x14ac:dyDescent="0.15">
      <c r="A3" t="s">
        <v>85</v>
      </c>
      <c r="B3" t="s">
        <v>86</v>
      </c>
      <c r="C3">
        <v>1000000</v>
      </c>
      <c r="D3" t="s">
        <v>87</v>
      </c>
      <c r="E3" t="s">
        <v>88</v>
      </c>
      <c r="F3" s="4" t="s">
        <v>89</v>
      </c>
      <c r="G3">
        <v>286155</v>
      </c>
      <c r="H3">
        <v>312172</v>
      </c>
      <c r="I3">
        <v>362724</v>
      </c>
      <c r="J3">
        <v>395984</v>
      </c>
      <c r="K3">
        <v>405438</v>
      </c>
      <c r="L3">
        <v>452196</v>
      </c>
      <c r="M3">
        <v>500655</v>
      </c>
      <c r="N3">
        <v>524262</v>
      </c>
      <c r="O3">
        <v>545484</v>
      </c>
      <c r="P3">
        <v>559993</v>
      </c>
      <c r="Q3">
        <v>615411</v>
      </c>
      <c r="R3">
        <v>672360</v>
      </c>
      <c r="S3">
        <v>708995</v>
      </c>
      <c r="T3">
        <v>732828</v>
      </c>
      <c r="U3">
        <v>772702</v>
      </c>
      <c r="V3">
        <v>790143</v>
      </c>
      <c r="W3">
        <v>819661</v>
      </c>
      <c r="X3">
        <v>854463</v>
      </c>
      <c r="Y3">
        <v>893295</v>
      </c>
      <c r="Z3">
        <v>944763</v>
      </c>
      <c r="AA3">
        <v>1023638</v>
      </c>
      <c r="AB3">
        <v>1109493</v>
      </c>
      <c r="AC3">
        <v>1192886</v>
      </c>
      <c r="AD3">
        <v>1307715</v>
      </c>
      <c r="AE3">
        <v>1445458</v>
      </c>
      <c r="AF3">
        <v>1565980</v>
      </c>
      <c r="AG3">
        <v>1713178</v>
      </c>
      <c r="AH3">
        <v>1896388</v>
      </c>
      <c r="AI3">
        <v>2167498</v>
      </c>
      <c r="AJ3">
        <v>2558446</v>
      </c>
      <c r="AK3">
        <v>2905163</v>
      </c>
      <c r="AL3">
        <v>3217331</v>
      </c>
      <c r="AM3">
        <v>3582292</v>
      </c>
      <c r="AN3">
        <v>4077479</v>
      </c>
      <c r="AO3">
        <v>4717142</v>
      </c>
      <c r="AP3">
        <v>5369790</v>
      </c>
      <c r="AQ3">
        <v>6041819</v>
      </c>
      <c r="AR3">
        <v>6387267</v>
      </c>
      <c r="AS3">
        <v>6719191</v>
      </c>
      <c r="AT3">
        <v>7296134</v>
      </c>
      <c r="AU3">
        <v>7800474</v>
      </c>
      <c r="AV3">
        <v>8150950</v>
      </c>
      <c r="AW3">
        <v>8673107</v>
      </c>
      <c r="AX3">
        <v>9428267</v>
      </c>
      <c r="AY3">
        <v>9970031</v>
      </c>
      <c r="AZ3">
        <v>10233077</v>
      </c>
      <c r="BA3">
        <v>10203266</v>
      </c>
      <c r="BB3">
        <v>10214772</v>
      </c>
      <c r="BC3">
        <v>10696671</v>
      </c>
      <c r="BD3">
        <v>11370460</v>
      </c>
      <c r="BE3">
        <v>12227384</v>
      </c>
      <c r="BF3">
        <v>13033418</v>
      </c>
      <c r="BG3">
        <v>14356403</v>
      </c>
      <c r="BH3">
        <v>16123383</v>
      </c>
      <c r="BI3">
        <v>17916566</v>
      </c>
      <c r="BJ3">
        <v>20570142</v>
      </c>
      <c r="BK3">
        <v>20703446</v>
      </c>
      <c r="BL3">
        <v>21146233</v>
      </c>
      <c r="BM3">
        <v>21638722</v>
      </c>
      <c r="BN3">
        <v>24046540</v>
      </c>
      <c r="BO3">
        <v>26247434</v>
      </c>
      <c r="BP3">
        <v>28508596</v>
      </c>
      <c r="BQ3">
        <v>31101935</v>
      </c>
      <c r="BR3">
        <v>29507159</v>
      </c>
      <c r="BS3">
        <v>27400144</v>
      </c>
      <c r="BT3">
        <v>27022125</v>
      </c>
      <c r="BU3">
        <v>28185716</v>
      </c>
      <c r="BV3">
        <v>29416786</v>
      </c>
      <c r="BW3">
        <v>32015490</v>
      </c>
      <c r="BX3">
        <v>33945557</v>
      </c>
      <c r="BY3">
        <v>36194575</v>
      </c>
      <c r="BZ3">
        <v>38233594</v>
      </c>
      <c r="CA3">
        <v>40372423</v>
      </c>
      <c r="CB3">
        <v>42213039</v>
      </c>
      <c r="CC3">
        <v>47163848</v>
      </c>
      <c r="CD3">
        <v>49058601</v>
      </c>
      <c r="CE3">
        <v>53950970</v>
      </c>
    </row>
    <row r="4" spans="1:83" x14ac:dyDescent="0.15">
      <c r="A4" t="s">
        <v>90</v>
      </c>
      <c r="B4" t="s">
        <v>86</v>
      </c>
      <c r="C4">
        <v>1000000</v>
      </c>
      <c r="D4" t="s">
        <v>87</v>
      </c>
      <c r="E4" t="s">
        <v>91</v>
      </c>
      <c r="F4" s="4" t="s">
        <v>92</v>
      </c>
      <c r="G4">
        <v>217386</v>
      </c>
      <c r="H4">
        <v>245008</v>
      </c>
      <c r="I4">
        <v>286835</v>
      </c>
      <c r="J4">
        <v>314618</v>
      </c>
      <c r="K4">
        <v>320170</v>
      </c>
      <c r="L4">
        <v>350144</v>
      </c>
      <c r="M4">
        <v>390576</v>
      </c>
      <c r="N4">
        <v>408765</v>
      </c>
      <c r="O4">
        <v>426950</v>
      </c>
      <c r="P4">
        <v>435961</v>
      </c>
      <c r="Q4">
        <v>473997</v>
      </c>
      <c r="R4">
        <v>525915</v>
      </c>
      <c r="S4">
        <v>557989</v>
      </c>
      <c r="T4">
        <v>570292</v>
      </c>
      <c r="U4">
        <v>595067</v>
      </c>
      <c r="V4">
        <v>609666</v>
      </c>
      <c r="W4">
        <v>626539</v>
      </c>
      <c r="X4">
        <v>649377</v>
      </c>
      <c r="Y4">
        <v>672864</v>
      </c>
      <c r="Z4">
        <v>709814</v>
      </c>
      <c r="AA4">
        <v>761292</v>
      </c>
      <c r="AB4">
        <v>832789</v>
      </c>
      <c r="AC4">
        <v>898434</v>
      </c>
      <c r="AD4">
        <v>980225</v>
      </c>
      <c r="AE4">
        <v>1083799</v>
      </c>
      <c r="AF4">
        <v>1182929</v>
      </c>
      <c r="AG4">
        <v>1288572</v>
      </c>
      <c r="AH4">
        <v>1403407</v>
      </c>
      <c r="AI4">
        <v>1596516</v>
      </c>
      <c r="AJ4">
        <v>1943129</v>
      </c>
      <c r="AK4">
        <v>2131816</v>
      </c>
      <c r="AL4">
        <v>2354268</v>
      </c>
      <c r="AM4">
        <v>2618158</v>
      </c>
      <c r="AN4">
        <v>2978655</v>
      </c>
      <c r="AO4">
        <v>3439598</v>
      </c>
      <c r="AP4">
        <v>3925220</v>
      </c>
      <c r="AQ4">
        <v>4403676</v>
      </c>
      <c r="AR4">
        <v>4638513</v>
      </c>
      <c r="AS4">
        <v>4792825</v>
      </c>
      <c r="AT4">
        <v>5095532</v>
      </c>
      <c r="AU4">
        <v>5329625</v>
      </c>
      <c r="AV4">
        <v>5511206</v>
      </c>
      <c r="AW4">
        <v>5802585</v>
      </c>
      <c r="AX4">
        <v>6178147</v>
      </c>
      <c r="AY4">
        <v>6491136</v>
      </c>
      <c r="AZ4">
        <v>6645566</v>
      </c>
      <c r="BA4">
        <v>6488682</v>
      </c>
      <c r="BB4">
        <v>6335594</v>
      </c>
      <c r="BC4">
        <v>6467758</v>
      </c>
      <c r="BD4">
        <v>6870184</v>
      </c>
      <c r="BE4">
        <v>7245646</v>
      </c>
      <c r="BF4">
        <v>7552032</v>
      </c>
      <c r="BG4">
        <v>8525084</v>
      </c>
      <c r="BH4">
        <v>9282057</v>
      </c>
      <c r="BI4">
        <v>9800157</v>
      </c>
      <c r="BJ4">
        <v>10778388</v>
      </c>
      <c r="BK4">
        <v>10781005</v>
      </c>
      <c r="BL4">
        <v>11165466</v>
      </c>
      <c r="BM4">
        <v>11477845</v>
      </c>
      <c r="BN4">
        <v>13061491</v>
      </c>
      <c r="BO4">
        <v>14294914</v>
      </c>
      <c r="BP4">
        <v>15793840</v>
      </c>
      <c r="BQ4">
        <v>17294246</v>
      </c>
      <c r="BR4">
        <v>16531201</v>
      </c>
      <c r="BS4">
        <v>14024922</v>
      </c>
      <c r="BT4">
        <v>14866900</v>
      </c>
      <c r="BU4">
        <v>15662889</v>
      </c>
      <c r="BV4">
        <v>16441585</v>
      </c>
      <c r="BW4">
        <v>17999804</v>
      </c>
      <c r="BX4">
        <v>19087896</v>
      </c>
      <c r="BY4">
        <v>20215698</v>
      </c>
      <c r="BZ4">
        <v>21150360</v>
      </c>
      <c r="CA4">
        <v>22383053</v>
      </c>
      <c r="CB4">
        <v>23100501</v>
      </c>
      <c r="CC4">
        <v>24681919</v>
      </c>
      <c r="CD4">
        <v>25747941</v>
      </c>
      <c r="CE4">
        <v>28593914</v>
      </c>
    </row>
    <row r="5" spans="1:83" x14ac:dyDescent="0.15">
      <c r="A5" t="s">
        <v>93</v>
      </c>
      <c r="B5" t="s">
        <v>86</v>
      </c>
      <c r="C5">
        <v>1000000</v>
      </c>
      <c r="D5" t="s">
        <v>87</v>
      </c>
      <c r="E5" t="s">
        <v>94</v>
      </c>
      <c r="F5" s="4" t="s">
        <v>95</v>
      </c>
      <c r="G5">
        <v>142811</v>
      </c>
      <c r="H5">
        <v>159407</v>
      </c>
      <c r="I5">
        <v>187736</v>
      </c>
      <c r="J5">
        <v>199450</v>
      </c>
      <c r="K5">
        <v>203936</v>
      </c>
      <c r="L5">
        <v>220714</v>
      </c>
      <c r="M5">
        <v>240645</v>
      </c>
      <c r="N5">
        <v>251382</v>
      </c>
      <c r="O5">
        <v>259102</v>
      </c>
      <c r="P5">
        <v>265003</v>
      </c>
      <c r="Q5">
        <v>285179</v>
      </c>
      <c r="R5">
        <v>313564</v>
      </c>
      <c r="S5">
        <v>330035</v>
      </c>
      <c r="T5">
        <v>337847</v>
      </c>
      <c r="U5">
        <v>348117</v>
      </c>
      <c r="V5">
        <v>352721</v>
      </c>
      <c r="W5">
        <v>362550</v>
      </c>
      <c r="X5">
        <v>371962</v>
      </c>
      <c r="Y5">
        <v>381280</v>
      </c>
      <c r="Z5">
        <v>399403</v>
      </c>
      <c r="AA5">
        <v>423994</v>
      </c>
      <c r="AB5">
        <v>454030</v>
      </c>
      <c r="AC5">
        <v>483207</v>
      </c>
      <c r="AD5">
        <v>524866</v>
      </c>
      <c r="AE5">
        <v>580412</v>
      </c>
      <c r="AF5">
        <v>638014</v>
      </c>
      <c r="AG5">
        <v>707036</v>
      </c>
      <c r="AH5">
        <v>775700</v>
      </c>
      <c r="AI5">
        <v>883295</v>
      </c>
      <c r="AJ5">
        <v>1062857</v>
      </c>
      <c r="AK5">
        <v>1170931</v>
      </c>
      <c r="AL5">
        <v>1292062</v>
      </c>
      <c r="AM5">
        <v>1430748</v>
      </c>
      <c r="AN5">
        <v>1620822</v>
      </c>
      <c r="AO5">
        <v>1860175</v>
      </c>
      <c r="AP5">
        <v>2112581</v>
      </c>
      <c r="AQ5">
        <v>2397012</v>
      </c>
      <c r="AR5">
        <v>2546255</v>
      </c>
      <c r="AS5">
        <v>2616851</v>
      </c>
      <c r="AT5">
        <v>2755196</v>
      </c>
      <c r="AU5">
        <v>2872856</v>
      </c>
      <c r="AV5">
        <v>2956923</v>
      </c>
      <c r="AW5">
        <v>3096102</v>
      </c>
      <c r="AX5">
        <v>3297032</v>
      </c>
      <c r="AY5">
        <v>3446477</v>
      </c>
      <c r="AZ5">
        <v>3435531</v>
      </c>
      <c r="BA5">
        <v>3207411</v>
      </c>
      <c r="BB5">
        <v>2949432</v>
      </c>
      <c r="BC5">
        <v>2936062</v>
      </c>
      <c r="BD5">
        <v>3108693</v>
      </c>
      <c r="BE5">
        <v>3227115</v>
      </c>
      <c r="BF5">
        <v>3334308</v>
      </c>
      <c r="BG5">
        <v>4083979</v>
      </c>
      <c r="BH5">
        <v>4638551</v>
      </c>
      <c r="BI5">
        <v>4836594</v>
      </c>
      <c r="BJ5">
        <v>5464908</v>
      </c>
      <c r="BK5">
        <v>5415588</v>
      </c>
      <c r="BL5">
        <v>5719567</v>
      </c>
      <c r="BM5">
        <v>5912558</v>
      </c>
      <c r="BN5">
        <v>7164881</v>
      </c>
      <c r="BO5">
        <v>8053140</v>
      </c>
      <c r="BP5">
        <v>9142658</v>
      </c>
      <c r="BQ5">
        <v>10247448</v>
      </c>
      <c r="BR5">
        <v>9274167</v>
      </c>
      <c r="BS5">
        <v>6892625</v>
      </c>
      <c r="BT5">
        <v>7429410</v>
      </c>
      <c r="BU5">
        <v>7814216</v>
      </c>
      <c r="BV5">
        <v>8245679</v>
      </c>
      <c r="BW5">
        <v>9486900</v>
      </c>
      <c r="BX5">
        <v>10256598</v>
      </c>
      <c r="BY5">
        <v>11193706</v>
      </c>
      <c r="BZ5">
        <v>11814099</v>
      </c>
      <c r="CA5">
        <v>12639157</v>
      </c>
      <c r="CB5">
        <v>12828644</v>
      </c>
      <c r="CC5">
        <v>13993660</v>
      </c>
      <c r="CD5">
        <v>14713241</v>
      </c>
      <c r="CE5">
        <v>16634439</v>
      </c>
    </row>
    <row r="6" spans="1:83" x14ac:dyDescent="0.15">
      <c r="A6" t="s">
        <v>96</v>
      </c>
      <c r="B6" t="s">
        <v>86</v>
      </c>
      <c r="C6">
        <v>1000000</v>
      </c>
      <c r="D6" t="s">
        <v>87</v>
      </c>
      <c r="E6" t="s">
        <v>97</v>
      </c>
      <c r="F6" s="4" t="s">
        <v>98</v>
      </c>
      <c r="G6">
        <v>32441</v>
      </c>
      <c r="H6">
        <v>39251</v>
      </c>
      <c r="I6">
        <v>47231</v>
      </c>
      <c r="J6">
        <v>57118</v>
      </c>
      <c r="K6">
        <v>59233</v>
      </c>
      <c r="L6">
        <v>68431</v>
      </c>
      <c r="M6">
        <v>75319</v>
      </c>
      <c r="N6">
        <v>79669</v>
      </c>
      <c r="O6">
        <v>86825</v>
      </c>
      <c r="P6">
        <v>90065</v>
      </c>
      <c r="Q6">
        <v>99658</v>
      </c>
      <c r="R6">
        <v>113963</v>
      </c>
      <c r="S6">
        <v>125586</v>
      </c>
      <c r="T6">
        <v>129601</v>
      </c>
      <c r="U6">
        <v>136432</v>
      </c>
      <c r="V6">
        <v>141877</v>
      </c>
      <c r="W6">
        <v>145126</v>
      </c>
      <c r="X6">
        <v>151526</v>
      </c>
      <c r="Y6">
        <v>158459</v>
      </c>
      <c r="Z6">
        <v>168396</v>
      </c>
      <c r="AA6">
        <v>182211</v>
      </c>
      <c r="AB6">
        <v>204158</v>
      </c>
      <c r="AC6">
        <v>225192</v>
      </c>
      <c r="AD6">
        <v>249670</v>
      </c>
      <c r="AE6">
        <v>276216</v>
      </c>
      <c r="AF6">
        <v>303435</v>
      </c>
      <c r="AG6">
        <v>324761</v>
      </c>
      <c r="AH6">
        <v>350015</v>
      </c>
      <c r="AI6">
        <v>388355</v>
      </c>
      <c r="AJ6">
        <v>478836</v>
      </c>
      <c r="AK6">
        <v>550136</v>
      </c>
      <c r="AL6">
        <v>608321</v>
      </c>
      <c r="AM6">
        <v>686106</v>
      </c>
      <c r="AN6">
        <v>782627</v>
      </c>
      <c r="AO6">
        <v>905871</v>
      </c>
      <c r="AP6">
        <v>1053072</v>
      </c>
      <c r="AQ6">
        <v>1170454</v>
      </c>
      <c r="AR6">
        <v>1238977</v>
      </c>
      <c r="AS6">
        <v>1275677</v>
      </c>
      <c r="AT6">
        <v>1341267</v>
      </c>
      <c r="AU6">
        <v>1416404</v>
      </c>
      <c r="AV6">
        <v>1491381</v>
      </c>
      <c r="AW6">
        <v>1552976</v>
      </c>
      <c r="AX6">
        <v>1634974</v>
      </c>
      <c r="AY6">
        <v>1718935</v>
      </c>
      <c r="AZ6">
        <v>1813320</v>
      </c>
      <c r="BA6">
        <v>1861340</v>
      </c>
      <c r="BB6">
        <v>1915613</v>
      </c>
      <c r="BC6">
        <v>1994414</v>
      </c>
      <c r="BD6">
        <v>2106491</v>
      </c>
      <c r="BE6">
        <v>2249065</v>
      </c>
      <c r="BF6">
        <v>2368652</v>
      </c>
      <c r="BG6">
        <v>2477401</v>
      </c>
      <c r="BH6">
        <v>2582498</v>
      </c>
      <c r="BI6">
        <v>2720532</v>
      </c>
      <c r="BJ6">
        <v>2888645</v>
      </c>
      <c r="BK6">
        <v>2962180</v>
      </c>
      <c r="BL6">
        <v>2968900</v>
      </c>
      <c r="BM6">
        <v>2975871</v>
      </c>
      <c r="BN6">
        <v>3124560</v>
      </c>
      <c r="BO6">
        <v>3258070</v>
      </c>
      <c r="BP6">
        <v>3481338</v>
      </c>
      <c r="BQ6">
        <v>3634756</v>
      </c>
      <c r="BR6">
        <v>3818659</v>
      </c>
      <c r="BS6">
        <v>3758458</v>
      </c>
      <c r="BT6">
        <v>3835064</v>
      </c>
      <c r="BU6">
        <v>4014144</v>
      </c>
      <c r="BV6">
        <v>4191533</v>
      </c>
      <c r="BW6">
        <v>4322623</v>
      </c>
      <c r="BX6">
        <v>4486051</v>
      </c>
      <c r="BY6">
        <v>4594773</v>
      </c>
      <c r="BZ6">
        <v>4695651</v>
      </c>
      <c r="CA6">
        <v>4841429</v>
      </c>
      <c r="CB6">
        <v>5074226</v>
      </c>
      <c r="CC6">
        <v>5254918</v>
      </c>
      <c r="CD6">
        <v>5355652</v>
      </c>
      <c r="CE6">
        <v>5635376</v>
      </c>
    </row>
    <row r="7" spans="1:83" x14ac:dyDescent="0.15">
      <c r="A7" t="s">
        <v>99</v>
      </c>
      <c r="B7" t="s">
        <v>86</v>
      </c>
      <c r="C7">
        <v>1000000</v>
      </c>
      <c r="D7" t="s">
        <v>87</v>
      </c>
      <c r="E7" t="s">
        <v>100</v>
      </c>
      <c r="F7" s="4" t="s">
        <v>101</v>
      </c>
      <c r="G7">
        <v>5846</v>
      </c>
      <c r="H7">
        <v>6662</v>
      </c>
      <c r="I7">
        <v>7773</v>
      </c>
      <c r="J7">
        <v>8356</v>
      </c>
      <c r="K7">
        <v>8555</v>
      </c>
      <c r="L7">
        <v>9455</v>
      </c>
      <c r="M7">
        <v>10128</v>
      </c>
      <c r="N7">
        <v>11026</v>
      </c>
      <c r="O7">
        <v>12393</v>
      </c>
      <c r="P7">
        <v>13648</v>
      </c>
      <c r="Q7">
        <v>15241</v>
      </c>
      <c r="R7">
        <v>17473</v>
      </c>
      <c r="S7">
        <v>19457</v>
      </c>
      <c r="T7">
        <v>21159</v>
      </c>
      <c r="U7">
        <v>23283</v>
      </c>
      <c r="V7">
        <v>25168</v>
      </c>
      <c r="W7">
        <v>27234</v>
      </c>
      <c r="X7">
        <v>29096</v>
      </c>
      <c r="Y7">
        <v>31623</v>
      </c>
      <c r="Z7">
        <v>34151</v>
      </c>
      <c r="AA7">
        <v>37496</v>
      </c>
      <c r="AB7">
        <v>41639</v>
      </c>
      <c r="AC7">
        <v>46782</v>
      </c>
      <c r="AD7">
        <v>52536</v>
      </c>
      <c r="AE7">
        <v>59275</v>
      </c>
      <c r="AF7">
        <v>65342</v>
      </c>
      <c r="AG7">
        <v>69715</v>
      </c>
      <c r="AH7">
        <v>75300</v>
      </c>
      <c r="AI7">
        <v>83980</v>
      </c>
      <c r="AJ7">
        <v>95599</v>
      </c>
      <c r="AK7">
        <v>103575</v>
      </c>
      <c r="AL7">
        <v>113283</v>
      </c>
      <c r="AM7">
        <v>124810</v>
      </c>
      <c r="AN7">
        <v>139690</v>
      </c>
      <c r="AO7">
        <v>159800</v>
      </c>
      <c r="AP7">
        <v>182849</v>
      </c>
      <c r="AQ7">
        <v>209603</v>
      </c>
      <c r="AR7">
        <v>234767</v>
      </c>
      <c r="AS7">
        <v>260744</v>
      </c>
      <c r="AT7">
        <v>290424</v>
      </c>
      <c r="AU7">
        <v>319788</v>
      </c>
      <c r="AV7">
        <v>347991</v>
      </c>
      <c r="AW7">
        <v>381982</v>
      </c>
      <c r="AX7">
        <v>412873</v>
      </c>
      <c r="AY7">
        <v>448921</v>
      </c>
      <c r="AZ7">
        <v>486901</v>
      </c>
      <c r="BA7">
        <v>525021</v>
      </c>
      <c r="BB7">
        <v>560122</v>
      </c>
      <c r="BC7">
        <v>594380</v>
      </c>
      <c r="BD7">
        <v>638835</v>
      </c>
      <c r="BE7">
        <v>690503</v>
      </c>
      <c r="BF7">
        <v>744562</v>
      </c>
      <c r="BG7">
        <v>815916</v>
      </c>
      <c r="BH7">
        <v>886679</v>
      </c>
      <c r="BI7">
        <v>984501</v>
      </c>
      <c r="BJ7">
        <v>1084838</v>
      </c>
      <c r="BK7">
        <v>1130269</v>
      </c>
      <c r="BL7">
        <v>1164297</v>
      </c>
      <c r="BM7">
        <v>1225520</v>
      </c>
      <c r="BN7">
        <v>1278453</v>
      </c>
      <c r="BO7">
        <v>1365017</v>
      </c>
      <c r="BP7">
        <v>1449818</v>
      </c>
      <c r="BQ7">
        <v>1556155</v>
      </c>
      <c r="BR7">
        <v>1632414</v>
      </c>
      <c r="BS7">
        <v>1671736</v>
      </c>
      <c r="BT7">
        <v>1742030</v>
      </c>
      <c r="BU7">
        <v>1833707</v>
      </c>
      <c r="BV7">
        <v>1905119</v>
      </c>
      <c r="BW7">
        <v>2016283</v>
      </c>
      <c r="BX7">
        <v>2111754</v>
      </c>
      <c r="BY7">
        <v>2173402</v>
      </c>
      <c r="BZ7">
        <v>2300166</v>
      </c>
      <c r="CA7">
        <v>2455878</v>
      </c>
      <c r="CB7">
        <v>2626139</v>
      </c>
      <c r="CC7">
        <v>2790148</v>
      </c>
      <c r="CD7">
        <v>3012983</v>
      </c>
      <c r="CE7">
        <v>3219911</v>
      </c>
    </row>
    <row r="8" spans="1:83" x14ac:dyDescent="0.15">
      <c r="A8" t="s">
        <v>102</v>
      </c>
      <c r="B8" t="s">
        <v>86</v>
      </c>
      <c r="C8">
        <v>1000000</v>
      </c>
      <c r="D8" t="s">
        <v>87</v>
      </c>
      <c r="E8" t="s">
        <v>103</v>
      </c>
      <c r="F8" s="4" t="s">
        <v>104</v>
      </c>
      <c r="G8">
        <v>36287</v>
      </c>
      <c r="H8">
        <v>39688</v>
      </c>
      <c r="I8">
        <v>44094</v>
      </c>
      <c r="J8">
        <v>49694</v>
      </c>
      <c r="K8">
        <v>48446</v>
      </c>
      <c r="L8">
        <v>51544</v>
      </c>
      <c r="M8">
        <v>64484</v>
      </c>
      <c r="N8">
        <v>66688</v>
      </c>
      <c r="O8">
        <v>68631</v>
      </c>
      <c r="P8">
        <v>67246</v>
      </c>
      <c r="Q8">
        <v>73919</v>
      </c>
      <c r="R8">
        <v>80915</v>
      </c>
      <c r="S8">
        <v>82911</v>
      </c>
      <c r="T8">
        <v>81685</v>
      </c>
      <c r="U8">
        <v>87235</v>
      </c>
      <c r="V8">
        <v>89900</v>
      </c>
      <c r="W8">
        <v>91629</v>
      </c>
      <c r="X8">
        <v>96793</v>
      </c>
      <c r="Y8">
        <v>101502</v>
      </c>
      <c r="Z8">
        <v>107864</v>
      </c>
      <c r="AA8">
        <v>117591</v>
      </c>
      <c r="AB8">
        <v>132962</v>
      </c>
      <c r="AC8">
        <v>143253</v>
      </c>
      <c r="AD8">
        <v>153153</v>
      </c>
      <c r="AE8">
        <v>167897</v>
      </c>
      <c r="AF8">
        <v>176138</v>
      </c>
      <c r="AG8">
        <v>187060</v>
      </c>
      <c r="AH8">
        <v>202392</v>
      </c>
      <c r="AI8">
        <v>240886</v>
      </c>
      <c r="AJ8">
        <v>305837</v>
      </c>
      <c r="AK8">
        <v>307174</v>
      </c>
      <c r="AL8">
        <v>340602</v>
      </c>
      <c r="AM8">
        <v>376495</v>
      </c>
      <c r="AN8">
        <v>435516</v>
      </c>
      <c r="AO8">
        <v>513751</v>
      </c>
      <c r="AP8">
        <v>576718</v>
      </c>
      <c r="AQ8">
        <v>626607</v>
      </c>
      <c r="AR8">
        <v>618514</v>
      </c>
      <c r="AS8">
        <v>639553</v>
      </c>
      <c r="AT8">
        <v>708645</v>
      </c>
      <c r="AU8">
        <v>720577</v>
      </c>
      <c r="AV8">
        <v>714911</v>
      </c>
      <c r="AW8">
        <v>771525</v>
      </c>
      <c r="AX8">
        <v>833268</v>
      </c>
      <c r="AY8">
        <v>876803</v>
      </c>
      <c r="AZ8">
        <v>909813</v>
      </c>
      <c r="BA8">
        <v>894910</v>
      </c>
      <c r="BB8">
        <v>910426</v>
      </c>
      <c r="BC8">
        <v>942902</v>
      </c>
      <c r="BD8">
        <v>1016165</v>
      </c>
      <c r="BE8">
        <v>1078964</v>
      </c>
      <c r="BF8">
        <v>1104510</v>
      </c>
      <c r="BG8">
        <v>1147788</v>
      </c>
      <c r="BH8">
        <v>1174330</v>
      </c>
      <c r="BI8">
        <v>1258530</v>
      </c>
      <c r="BJ8">
        <v>1339997</v>
      </c>
      <c r="BK8">
        <v>1272968</v>
      </c>
      <c r="BL8">
        <v>1312702</v>
      </c>
      <c r="BM8">
        <v>1363896</v>
      </c>
      <c r="BN8">
        <v>1493596</v>
      </c>
      <c r="BO8">
        <v>1618687</v>
      </c>
      <c r="BP8">
        <v>1720026</v>
      </c>
      <c r="BQ8">
        <v>1855887</v>
      </c>
      <c r="BR8">
        <v>1805961</v>
      </c>
      <c r="BS8">
        <v>1702102</v>
      </c>
      <c r="BT8">
        <v>1860395</v>
      </c>
      <c r="BU8">
        <v>2000822</v>
      </c>
      <c r="BV8">
        <v>2099254</v>
      </c>
      <c r="BW8">
        <v>2173998</v>
      </c>
      <c r="BX8">
        <v>2233493</v>
      </c>
      <c r="BY8">
        <v>2253817</v>
      </c>
      <c r="BZ8">
        <v>2340444</v>
      </c>
      <c r="CA8">
        <v>2446590</v>
      </c>
      <c r="CB8">
        <v>2571492</v>
      </c>
      <c r="CC8">
        <v>2643193</v>
      </c>
      <c r="CD8">
        <v>2666065</v>
      </c>
      <c r="CE8">
        <v>3104188</v>
      </c>
    </row>
    <row r="9" spans="1:83" x14ac:dyDescent="0.15">
      <c r="A9" t="s">
        <v>105</v>
      </c>
      <c r="B9" t="s">
        <v>86</v>
      </c>
      <c r="C9">
        <v>1000000</v>
      </c>
      <c r="D9" t="s">
        <v>87</v>
      </c>
      <c r="E9" t="s">
        <v>106</v>
      </c>
      <c r="F9" s="4" t="s">
        <v>107</v>
      </c>
      <c r="G9">
        <v>68769</v>
      </c>
      <c r="H9">
        <v>67164</v>
      </c>
      <c r="I9">
        <v>75889</v>
      </c>
      <c r="J9">
        <v>81366</v>
      </c>
      <c r="K9">
        <v>85268</v>
      </c>
      <c r="L9">
        <v>102052</v>
      </c>
      <c r="M9">
        <v>110079</v>
      </c>
      <c r="N9">
        <v>115497</v>
      </c>
      <c r="O9">
        <v>118534</v>
      </c>
      <c r="P9">
        <v>124032</v>
      </c>
      <c r="Q9">
        <v>141414</v>
      </c>
      <c r="R9">
        <v>146445</v>
      </c>
      <c r="S9">
        <v>151006</v>
      </c>
      <c r="T9">
        <v>162536</v>
      </c>
      <c r="U9">
        <v>177635</v>
      </c>
      <c r="V9">
        <v>180477</v>
      </c>
      <c r="W9">
        <v>193122</v>
      </c>
      <c r="X9">
        <v>205086</v>
      </c>
      <c r="Y9">
        <v>220431</v>
      </c>
      <c r="Z9">
        <v>234949</v>
      </c>
      <c r="AA9">
        <v>262346</v>
      </c>
      <c r="AB9">
        <v>276704</v>
      </c>
      <c r="AC9">
        <v>294452</v>
      </c>
      <c r="AD9">
        <v>327490</v>
      </c>
      <c r="AE9">
        <v>361659</v>
      </c>
      <c r="AF9">
        <v>383051</v>
      </c>
      <c r="AG9">
        <v>424606</v>
      </c>
      <c r="AH9">
        <v>492981</v>
      </c>
      <c r="AI9">
        <v>570982</v>
      </c>
      <c r="AJ9">
        <v>615317</v>
      </c>
      <c r="AK9">
        <v>773347</v>
      </c>
      <c r="AL9">
        <v>863063</v>
      </c>
      <c r="AM9">
        <v>964134</v>
      </c>
      <c r="AN9">
        <v>1098824</v>
      </c>
      <c r="AO9">
        <v>1277544</v>
      </c>
      <c r="AP9">
        <v>1444570</v>
      </c>
      <c r="AQ9">
        <v>1638143</v>
      </c>
      <c r="AR9">
        <v>1748754</v>
      </c>
      <c r="AS9">
        <v>1926366</v>
      </c>
      <c r="AT9">
        <v>2200602</v>
      </c>
      <c r="AU9">
        <v>2470849</v>
      </c>
      <c r="AV9">
        <v>2639744</v>
      </c>
      <c r="AW9">
        <v>2870522</v>
      </c>
      <c r="AX9">
        <v>3250120</v>
      </c>
      <c r="AY9">
        <v>3478895</v>
      </c>
      <c r="AZ9">
        <v>3587511</v>
      </c>
      <c r="BA9">
        <v>3714584</v>
      </c>
      <c r="BB9">
        <v>3879178</v>
      </c>
      <c r="BC9">
        <v>4228913</v>
      </c>
      <c r="BD9">
        <v>4500276</v>
      </c>
      <c r="BE9">
        <v>4981738</v>
      </c>
      <c r="BF9">
        <v>5481386</v>
      </c>
      <c r="BG9">
        <v>5831319</v>
      </c>
      <c r="BH9">
        <v>6841326</v>
      </c>
      <c r="BI9">
        <v>8116409</v>
      </c>
      <c r="BJ9">
        <v>9791754</v>
      </c>
      <c r="BK9">
        <v>9922441</v>
      </c>
      <c r="BL9">
        <v>9980767</v>
      </c>
      <c r="BM9">
        <v>10160877</v>
      </c>
      <c r="BN9">
        <v>10985049</v>
      </c>
      <c r="BO9">
        <v>11952520</v>
      </c>
      <c r="BP9">
        <v>12714756</v>
      </c>
      <c r="BQ9">
        <v>13807689</v>
      </c>
      <c r="BR9">
        <v>12975958</v>
      </c>
      <c r="BS9">
        <v>13375222</v>
      </c>
      <c r="BT9">
        <v>12155225</v>
      </c>
      <c r="BU9">
        <v>12522827</v>
      </c>
      <c r="BV9">
        <v>12975201</v>
      </c>
      <c r="BW9">
        <v>14015686</v>
      </c>
      <c r="BX9">
        <v>14857661</v>
      </c>
      <c r="BY9">
        <v>15978877</v>
      </c>
      <c r="BZ9">
        <v>17083234</v>
      </c>
      <c r="CA9">
        <v>17989370</v>
      </c>
      <c r="CB9">
        <v>19112538</v>
      </c>
      <c r="CC9">
        <v>22481929</v>
      </c>
      <c r="CD9">
        <v>23310660</v>
      </c>
      <c r="CE9">
        <v>25357056</v>
      </c>
    </row>
    <row r="10" spans="1:83" x14ac:dyDescent="0.15">
      <c r="A10" t="s">
        <v>108</v>
      </c>
      <c r="B10" t="s">
        <v>86</v>
      </c>
      <c r="C10">
        <v>1000000</v>
      </c>
      <c r="D10" t="s">
        <v>87</v>
      </c>
      <c r="E10" t="s">
        <v>109</v>
      </c>
      <c r="F10" s="4" t="s">
        <v>110</v>
      </c>
      <c r="G10">
        <v>33</v>
      </c>
      <c r="H10">
        <v>68</v>
      </c>
      <c r="I10">
        <v>51</v>
      </c>
      <c r="J10">
        <v>10</v>
      </c>
      <c r="K10">
        <v>10</v>
      </c>
      <c r="L10">
        <v>57</v>
      </c>
      <c r="M10">
        <v>91</v>
      </c>
      <c r="N10">
        <v>75</v>
      </c>
      <c r="O10">
        <v>114</v>
      </c>
      <c r="P10">
        <v>158</v>
      </c>
      <c r="Q10">
        <v>129</v>
      </c>
      <c r="R10">
        <v>138</v>
      </c>
      <c r="S10">
        <v>131</v>
      </c>
      <c r="T10">
        <v>149</v>
      </c>
      <c r="U10">
        <v>132</v>
      </c>
      <c r="V10">
        <v>148</v>
      </c>
      <c r="W10">
        <v>236</v>
      </c>
      <c r="X10">
        <v>790</v>
      </c>
      <c r="Y10">
        <v>731</v>
      </c>
      <c r="Z10">
        <v>1097</v>
      </c>
      <c r="AA10">
        <v>781</v>
      </c>
      <c r="AB10">
        <v>885</v>
      </c>
      <c r="AC10">
        <v>1055</v>
      </c>
      <c r="AD10">
        <v>1587</v>
      </c>
      <c r="AE10">
        <v>1173</v>
      </c>
      <c r="AF10">
        <v>798</v>
      </c>
      <c r="AG10">
        <v>1234</v>
      </c>
      <c r="AH10">
        <v>2172</v>
      </c>
      <c r="AI10">
        <v>3329</v>
      </c>
      <c r="AJ10">
        <v>4946</v>
      </c>
      <c r="AK10">
        <v>2622</v>
      </c>
      <c r="AL10">
        <v>3439</v>
      </c>
      <c r="AM10">
        <v>5686</v>
      </c>
      <c r="AN10">
        <v>8317</v>
      </c>
      <c r="AO10">
        <v>10080</v>
      </c>
      <c r="AP10">
        <v>9696</v>
      </c>
      <c r="AQ10">
        <v>12386</v>
      </c>
      <c r="AR10">
        <v>10063</v>
      </c>
      <c r="AS10">
        <v>14393</v>
      </c>
      <c r="AT10">
        <v>13284</v>
      </c>
      <c r="AU10">
        <v>16023</v>
      </c>
      <c r="AV10">
        <v>19201</v>
      </c>
      <c r="AW10">
        <v>16262</v>
      </c>
      <c r="AX10">
        <v>21554</v>
      </c>
      <c r="AY10">
        <v>14705</v>
      </c>
      <c r="AZ10">
        <v>14717</v>
      </c>
      <c r="BA10">
        <v>16435</v>
      </c>
      <c r="BB10">
        <v>15791</v>
      </c>
      <c r="BC10">
        <v>14502</v>
      </c>
      <c r="BD10">
        <v>15664</v>
      </c>
      <c r="BE10">
        <v>17403</v>
      </c>
      <c r="BF10">
        <v>28208</v>
      </c>
      <c r="BG10">
        <v>23139</v>
      </c>
      <c r="BH10">
        <v>30518</v>
      </c>
      <c r="BI10">
        <v>31460</v>
      </c>
      <c r="BJ10">
        <v>24029</v>
      </c>
      <c r="BK10">
        <v>15517</v>
      </c>
      <c r="BL10">
        <v>20587</v>
      </c>
      <c r="BM10">
        <v>38145</v>
      </c>
      <c r="BN10">
        <v>53705</v>
      </c>
      <c r="BO10">
        <v>63571</v>
      </c>
      <c r="BP10">
        <v>49336</v>
      </c>
      <c r="BQ10">
        <v>50250</v>
      </c>
      <c r="BR10">
        <v>24704</v>
      </c>
      <c r="BS10">
        <v>31528</v>
      </c>
      <c r="BT10">
        <v>63991</v>
      </c>
      <c r="BU10">
        <v>52528</v>
      </c>
      <c r="BV10">
        <v>53621</v>
      </c>
      <c r="BW10">
        <v>122171</v>
      </c>
      <c r="BX10">
        <v>112862</v>
      </c>
      <c r="BY10">
        <v>93857</v>
      </c>
      <c r="BZ10">
        <v>97587</v>
      </c>
      <c r="CA10">
        <v>216550</v>
      </c>
      <c r="CB10">
        <v>106290</v>
      </c>
      <c r="CC10">
        <v>130983</v>
      </c>
      <c r="CD10">
        <v>133814</v>
      </c>
      <c r="CE10">
        <v>153324</v>
      </c>
    </row>
    <row r="11" spans="1:83" x14ac:dyDescent="0.15">
      <c r="A11" t="s">
        <v>111</v>
      </c>
      <c r="B11" t="s">
        <v>86</v>
      </c>
      <c r="C11">
        <v>1000000</v>
      </c>
      <c r="D11" t="s">
        <v>87</v>
      </c>
      <c r="E11" t="s">
        <v>112</v>
      </c>
      <c r="F11" s="4" t="s">
        <v>113</v>
      </c>
      <c r="G11">
        <v>18959</v>
      </c>
      <c r="H11">
        <v>19502</v>
      </c>
      <c r="I11">
        <v>21434</v>
      </c>
      <c r="J11">
        <v>21861</v>
      </c>
      <c r="K11">
        <v>22903</v>
      </c>
      <c r="L11">
        <v>24222</v>
      </c>
      <c r="M11">
        <v>25859</v>
      </c>
      <c r="N11">
        <v>26641</v>
      </c>
      <c r="O11">
        <v>26550</v>
      </c>
      <c r="P11">
        <v>28329</v>
      </c>
      <c r="Q11">
        <v>29282</v>
      </c>
      <c r="R11">
        <v>28990</v>
      </c>
      <c r="S11">
        <v>29024</v>
      </c>
      <c r="T11">
        <v>30083</v>
      </c>
      <c r="U11">
        <v>29196</v>
      </c>
      <c r="V11">
        <v>28243</v>
      </c>
      <c r="W11">
        <v>31673</v>
      </c>
      <c r="X11">
        <v>34564</v>
      </c>
      <c r="Y11">
        <v>33427</v>
      </c>
      <c r="Z11">
        <v>32738</v>
      </c>
      <c r="AA11">
        <v>33053</v>
      </c>
      <c r="AB11">
        <v>32371</v>
      </c>
      <c r="AC11">
        <v>34817</v>
      </c>
      <c r="AD11">
        <v>37531</v>
      </c>
      <c r="AE11">
        <v>43122</v>
      </c>
      <c r="AF11">
        <v>44059</v>
      </c>
      <c r="AG11">
        <v>42581</v>
      </c>
      <c r="AH11">
        <v>44938</v>
      </c>
      <c r="AI11">
        <v>46315</v>
      </c>
      <c r="AJ11">
        <v>47772</v>
      </c>
      <c r="AK11">
        <v>58272</v>
      </c>
      <c r="AL11">
        <v>62967</v>
      </c>
      <c r="AM11">
        <v>66717</v>
      </c>
      <c r="AN11">
        <v>73015</v>
      </c>
      <c r="AO11">
        <v>79073</v>
      </c>
      <c r="AP11">
        <v>78660</v>
      </c>
      <c r="AQ11">
        <v>57674</v>
      </c>
      <c r="AR11">
        <v>68019</v>
      </c>
      <c r="AS11">
        <v>89573</v>
      </c>
      <c r="AT11">
        <v>102698</v>
      </c>
      <c r="AU11">
        <v>125714</v>
      </c>
      <c r="AV11">
        <v>123998</v>
      </c>
      <c r="AW11">
        <v>133651</v>
      </c>
      <c r="AX11">
        <v>145405</v>
      </c>
      <c r="AY11">
        <v>153925</v>
      </c>
      <c r="AZ11">
        <v>159167</v>
      </c>
      <c r="BA11">
        <v>164495</v>
      </c>
      <c r="BB11">
        <v>158671</v>
      </c>
      <c r="BC11">
        <v>178018</v>
      </c>
      <c r="BD11">
        <v>185515</v>
      </c>
      <c r="BE11">
        <v>188079</v>
      </c>
      <c r="BF11">
        <v>187358</v>
      </c>
      <c r="BG11">
        <v>175917</v>
      </c>
      <c r="BH11">
        <v>159681</v>
      </c>
      <c r="BI11">
        <v>189047</v>
      </c>
      <c r="BJ11">
        <v>223882</v>
      </c>
      <c r="BK11">
        <v>169760</v>
      </c>
      <c r="BL11">
        <v>157070</v>
      </c>
      <c r="BM11">
        <v>196383</v>
      </c>
      <c r="BN11">
        <v>226807</v>
      </c>
      <c r="BO11">
        <v>326889</v>
      </c>
      <c r="BP11">
        <v>249199</v>
      </c>
      <c r="BQ11">
        <v>300583</v>
      </c>
      <c r="BR11">
        <v>166276</v>
      </c>
      <c r="BS11">
        <v>340597</v>
      </c>
      <c r="BT11">
        <v>470374</v>
      </c>
      <c r="BU11">
        <v>565836</v>
      </c>
      <c r="BV11">
        <v>605603</v>
      </c>
      <c r="BW11">
        <v>647694</v>
      </c>
      <c r="BX11">
        <v>764448</v>
      </c>
      <c r="BY11">
        <v>813814</v>
      </c>
      <c r="BZ11">
        <v>967887</v>
      </c>
      <c r="CA11">
        <v>918644</v>
      </c>
      <c r="CB11">
        <v>1174301</v>
      </c>
      <c r="CC11">
        <v>1308332</v>
      </c>
      <c r="CD11">
        <v>1742182</v>
      </c>
      <c r="CE11">
        <v>1887254</v>
      </c>
    </row>
    <row r="12" spans="1:83" x14ac:dyDescent="0.15">
      <c r="A12" t="s">
        <v>114</v>
      </c>
      <c r="B12" t="s">
        <v>86</v>
      </c>
      <c r="C12">
        <v>1000000</v>
      </c>
      <c r="D12" t="s">
        <v>87</v>
      </c>
      <c r="E12" t="s">
        <v>115</v>
      </c>
      <c r="F12" s="4" t="s">
        <v>116</v>
      </c>
      <c r="G12">
        <v>900</v>
      </c>
      <c r="H12">
        <v>900</v>
      </c>
      <c r="I12">
        <v>900</v>
      </c>
      <c r="J12">
        <v>900</v>
      </c>
      <c r="K12">
        <v>900</v>
      </c>
      <c r="L12">
        <v>900</v>
      </c>
      <c r="M12">
        <v>900</v>
      </c>
      <c r="N12">
        <v>900</v>
      </c>
      <c r="O12">
        <v>900</v>
      </c>
      <c r="P12">
        <v>1100</v>
      </c>
      <c r="Q12">
        <v>1000</v>
      </c>
      <c r="R12">
        <v>1000</v>
      </c>
      <c r="S12">
        <v>1000</v>
      </c>
      <c r="T12">
        <v>1900</v>
      </c>
      <c r="U12">
        <v>1500</v>
      </c>
      <c r="V12">
        <v>3000</v>
      </c>
      <c r="W12">
        <v>4100</v>
      </c>
      <c r="X12">
        <v>5000</v>
      </c>
      <c r="Y12">
        <v>5687</v>
      </c>
      <c r="Z12">
        <v>6671</v>
      </c>
      <c r="AA12">
        <v>8993</v>
      </c>
      <c r="AB12">
        <v>8603</v>
      </c>
      <c r="AC12">
        <v>9682</v>
      </c>
      <c r="AD12">
        <v>9056</v>
      </c>
      <c r="AE12">
        <v>3652</v>
      </c>
      <c r="AF12">
        <v>5347</v>
      </c>
      <c r="AG12">
        <v>9509</v>
      </c>
      <c r="AH12">
        <v>11890</v>
      </c>
      <c r="AI12">
        <v>16623</v>
      </c>
      <c r="AJ12">
        <v>20464</v>
      </c>
      <c r="AK12">
        <v>24130</v>
      </c>
      <c r="AL12">
        <v>28783</v>
      </c>
      <c r="AM12">
        <v>35456</v>
      </c>
      <c r="AN12">
        <v>38182</v>
      </c>
      <c r="AO12">
        <v>40414</v>
      </c>
      <c r="AP12">
        <v>45022</v>
      </c>
      <c r="AQ12">
        <v>54971</v>
      </c>
      <c r="AR12">
        <v>63573</v>
      </c>
      <c r="AS12">
        <v>69974</v>
      </c>
      <c r="AT12">
        <v>69124</v>
      </c>
      <c r="AU12">
        <v>69301</v>
      </c>
      <c r="AV12">
        <v>85530</v>
      </c>
      <c r="AW12">
        <v>85943</v>
      </c>
      <c r="AX12">
        <v>82273</v>
      </c>
      <c r="AY12">
        <v>80610</v>
      </c>
      <c r="AZ12">
        <v>74564</v>
      </c>
      <c r="BA12">
        <v>77581</v>
      </c>
      <c r="BB12">
        <v>75991</v>
      </c>
      <c r="BC12">
        <v>91982</v>
      </c>
      <c r="BD12">
        <v>96369</v>
      </c>
      <c r="BE12">
        <v>99688</v>
      </c>
      <c r="BF12">
        <v>129670</v>
      </c>
      <c r="BG12">
        <v>164374</v>
      </c>
      <c r="BH12">
        <v>192588</v>
      </c>
      <c r="BI12">
        <v>236877</v>
      </c>
      <c r="BJ12">
        <v>272343</v>
      </c>
      <c r="BK12">
        <v>281120</v>
      </c>
      <c r="BL12">
        <v>291301</v>
      </c>
      <c r="BM12">
        <v>362778</v>
      </c>
      <c r="BN12">
        <v>370456</v>
      </c>
      <c r="BO12">
        <v>380360</v>
      </c>
      <c r="BP12">
        <v>386992</v>
      </c>
      <c r="BQ12">
        <v>261335</v>
      </c>
      <c r="BR12">
        <v>151888</v>
      </c>
      <c r="BS12">
        <v>228801</v>
      </c>
      <c r="BT12">
        <v>235240</v>
      </c>
      <c r="BU12">
        <v>195351</v>
      </c>
      <c r="BV12">
        <v>209082</v>
      </c>
      <c r="BW12">
        <v>248237</v>
      </c>
      <c r="BX12">
        <v>160676</v>
      </c>
      <c r="BY12">
        <v>171575</v>
      </c>
      <c r="BZ12">
        <v>189039</v>
      </c>
      <c r="CA12">
        <v>181313</v>
      </c>
      <c r="CB12">
        <v>187155</v>
      </c>
      <c r="CC12">
        <v>201454</v>
      </c>
      <c r="CD12">
        <v>280657</v>
      </c>
      <c r="CE12">
        <v>275983</v>
      </c>
    </row>
    <row r="13" spans="1:83" x14ac:dyDescent="0.15">
      <c r="A13" t="s">
        <v>117</v>
      </c>
      <c r="B13" t="s">
        <v>86</v>
      </c>
      <c r="C13">
        <v>1000000</v>
      </c>
      <c r="D13" t="s">
        <v>87</v>
      </c>
      <c r="E13" t="s">
        <v>118</v>
      </c>
      <c r="F13" s="4" t="s">
        <v>119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200</v>
      </c>
      <c r="AN13">
        <v>610</v>
      </c>
      <c r="AO13">
        <v>3000</v>
      </c>
      <c r="AP13">
        <v>6993</v>
      </c>
      <c r="AQ13">
        <v>18416</v>
      </c>
      <c r="AR13">
        <v>19031</v>
      </c>
      <c r="AS13">
        <v>11153</v>
      </c>
      <c r="AT13">
        <v>16062</v>
      </c>
      <c r="AU13">
        <v>14516</v>
      </c>
      <c r="AV13">
        <v>18117</v>
      </c>
      <c r="AW13">
        <v>18940</v>
      </c>
      <c r="AX13">
        <v>15649</v>
      </c>
      <c r="AY13">
        <v>16224</v>
      </c>
      <c r="AZ13">
        <v>26329</v>
      </c>
      <c r="BA13">
        <v>32331</v>
      </c>
      <c r="BB13">
        <v>47346</v>
      </c>
      <c r="BC13">
        <v>44812</v>
      </c>
      <c r="BD13">
        <v>52209</v>
      </c>
      <c r="BE13">
        <v>76969</v>
      </c>
      <c r="BF13">
        <v>94627</v>
      </c>
      <c r="BG13">
        <v>118834</v>
      </c>
      <c r="BH13">
        <v>161719</v>
      </c>
      <c r="BI13">
        <v>196783</v>
      </c>
      <c r="BJ13">
        <v>213914</v>
      </c>
      <c r="BK13">
        <v>314064</v>
      </c>
      <c r="BL13">
        <v>319714</v>
      </c>
      <c r="BM13">
        <v>293559</v>
      </c>
      <c r="BN13">
        <v>305966</v>
      </c>
      <c r="BO13">
        <v>359020</v>
      </c>
      <c r="BP13">
        <v>428003</v>
      </c>
      <c r="BQ13">
        <v>565641</v>
      </c>
      <c r="BR13">
        <v>837975</v>
      </c>
      <c r="BS13">
        <v>725069</v>
      </c>
      <c r="BT13">
        <v>555140</v>
      </c>
      <c r="BU13">
        <v>515830</v>
      </c>
      <c r="BV13">
        <v>504912</v>
      </c>
      <c r="BW13">
        <v>535492</v>
      </c>
      <c r="BX13">
        <v>557351</v>
      </c>
      <c r="BY13">
        <v>576361</v>
      </c>
      <c r="BZ13">
        <v>463847</v>
      </c>
      <c r="CA13">
        <v>532543</v>
      </c>
      <c r="CB13">
        <v>481503</v>
      </c>
      <c r="CC13">
        <v>589862</v>
      </c>
      <c r="CD13">
        <v>712077</v>
      </c>
      <c r="CE13">
        <v>813060</v>
      </c>
    </row>
    <row r="14" spans="1:83" x14ac:dyDescent="0.15">
      <c r="A14" t="s">
        <v>120</v>
      </c>
      <c r="B14" t="s">
        <v>86</v>
      </c>
      <c r="C14">
        <v>1000000</v>
      </c>
      <c r="D14" t="s">
        <v>87</v>
      </c>
      <c r="E14" t="s">
        <v>121</v>
      </c>
      <c r="F14" s="4" t="s">
        <v>122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309</v>
      </c>
      <c r="AA14">
        <v>593</v>
      </c>
      <c r="AB14">
        <v>895</v>
      </c>
      <c r="AC14">
        <v>670</v>
      </c>
      <c r="AD14">
        <v>1121</v>
      </c>
      <c r="AE14">
        <v>3311</v>
      </c>
      <c r="AF14">
        <v>234</v>
      </c>
      <c r="AG14">
        <v>1077</v>
      </c>
      <c r="AH14">
        <v>2688</v>
      </c>
      <c r="AI14">
        <v>11262</v>
      </c>
      <c r="AJ14">
        <v>5485</v>
      </c>
      <c r="AK14">
        <v>1189</v>
      </c>
      <c r="AL14">
        <v>1459</v>
      </c>
      <c r="AM14">
        <v>2115</v>
      </c>
      <c r="AN14">
        <v>2509</v>
      </c>
      <c r="AO14">
        <v>3116</v>
      </c>
      <c r="AP14">
        <v>3887</v>
      </c>
      <c r="AQ14">
        <v>1784</v>
      </c>
      <c r="AR14">
        <v>2435</v>
      </c>
      <c r="AS14">
        <v>3248</v>
      </c>
      <c r="AT14">
        <v>3919</v>
      </c>
      <c r="AU14">
        <v>3374</v>
      </c>
      <c r="AV14">
        <v>5073</v>
      </c>
      <c r="AW14">
        <v>3362</v>
      </c>
      <c r="AX14">
        <v>4981</v>
      </c>
      <c r="AY14">
        <v>2783</v>
      </c>
      <c r="AZ14">
        <v>2137</v>
      </c>
      <c r="BA14">
        <v>1620</v>
      </c>
      <c r="BB14">
        <v>5057</v>
      </c>
      <c r="BC14">
        <v>2506</v>
      </c>
      <c r="BD14">
        <v>2178</v>
      </c>
      <c r="BE14">
        <v>2440</v>
      </c>
      <c r="BF14">
        <v>3904</v>
      </c>
      <c r="BG14">
        <v>4562</v>
      </c>
      <c r="BH14">
        <v>4208</v>
      </c>
      <c r="BI14">
        <v>5793</v>
      </c>
      <c r="BJ14">
        <v>4204</v>
      </c>
      <c r="BK14">
        <v>3980</v>
      </c>
      <c r="BL14">
        <v>6171</v>
      </c>
      <c r="BM14">
        <v>5986</v>
      </c>
      <c r="BN14">
        <v>6422</v>
      </c>
      <c r="BO14">
        <v>14560</v>
      </c>
      <c r="BP14">
        <v>15533</v>
      </c>
      <c r="BQ14">
        <v>8050</v>
      </c>
      <c r="BR14">
        <v>7178</v>
      </c>
      <c r="BS14">
        <v>7852</v>
      </c>
      <c r="BT14">
        <v>22034</v>
      </c>
      <c r="BU14">
        <v>22906</v>
      </c>
      <c r="BV14">
        <v>18273</v>
      </c>
      <c r="BW14">
        <v>22643</v>
      </c>
      <c r="BX14">
        <v>50432</v>
      </c>
      <c r="BY14">
        <v>64591</v>
      </c>
      <c r="BZ14">
        <v>90280</v>
      </c>
      <c r="CA14">
        <v>39551</v>
      </c>
      <c r="CB14">
        <v>14579</v>
      </c>
      <c r="CC14">
        <v>13384</v>
      </c>
      <c r="CD14">
        <v>36661</v>
      </c>
      <c r="CE14">
        <v>29384</v>
      </c>
    </row>
    <row r="15" spans="1:83" x14ac:dyDescent="0.15">
      <c r="A15" t="s">
        <v>123</v>
      </c>
      <c r="B15" t="s">
        <v>86</v>
      </c>
      <c r="C15">
        <v>1000000</v>
      </c>
      <c r="D15" t="s">
        <v>87</v>
      </c>
      <c r="E15" t="s">
        <v>124</v>
      </c>
      <c r="F15" s="4" t="s">
        <v>125</v>
      </c>
      <c r="G15">
        <v>18760</v>
      </c>
      <c r="H15">
        <v>13124</v>
      </c>
      <c r="I15">
        <v>12770</v>
      </c>
      <c r="J15">
        <v>13485</v>
      </c>
      <c r="K15">
        <v>15447</v>
      </c>
      <c r="L15">
        <v>18665</v>
      </c>
      <c r="M15">
        <v>19587</v>
      </c>
      <c r="N15">
        <v>18655</v>
      </c>
      <c r="O15">
        <v>20449</v>
      </c>
      <c r="P15">
        <v>18786</v>
      </c>
      <c r="Q15">
        <v>23017</v>
      </c>
      <c r="R15">
        <v>18765</v>
      </c>
      <c r="S15">
        <v>18303</v>
      </c>
      <c r="T15">
        <v>18860</v>
      </c>
      <c r="U15">
        <v>25357</v>
      </c>
      <c r="V15">
        <v>20038</v>
      </c>
      <c r="W15">
        <v>18828</v>
      </c>
      <c r="X15">
        <v>17583</v>
      </c>
      <c r="Y15">
        <v>21492</v>
      </c>
      <c r="Z15">
        <v>20855</v>
      </c>
      <c r="AA15">
        <v>19756</v>
      </c>
      <c r="AB15">
        <v>18572</v>
      </c>
      <c r="AC15">
        <v>16871</v>
      </c>
      <c r="AD15">
        <v>19274</v>
      </c>
      <c r="AE15">
        <v>17750</v>
      </c>
      <c r="AF15">
        <v>19056</v>
      </c>
      <c r="AG15">
        <v>24418</v>
      </c>
      <c r="AH15">
        <v>26327</v>
      </c>
      <c r="AI15">
        <v>23431</v>
      </c>
      <c r="AJ15">
        <v>26740</v>
      </c>
      <c r="AK15">
        <v>30745</v>
      </c>
      <c r="AL15">
        <v>39154</v>
      </c>
      <c r="AM15">
        <v>32988</v>
      </c>
      <c r="AN15">
        <v>31966</v>
      </c>
      <c r="AO15">
        <v>29316</v>
      </c>
      <c r="AP15">
        <v>34396</v>
      </c>
      <c r="AQ15">
        <v>43236</v>
      </c>
      <c r="AR15">
        <v>44459</v>
      </c>
      <c r="AS15">
        <v>64787</v>
      </c>
      <c r="AT15">
        <v>74011</v>
      </c>
      <c r="AU15">
        <v>81169</v>
      </c>
      <c r="AV15">
        <v>77913</v>
      </c>
      <c r="AW15">
        <v>68768</v>
      </c>
      <c r="AX15">
        <v>64397</v>
      </c>
      <c r="AY15">
        <v>107244</v>
      </c>
      <c r="AZ15">
        <v>79441</v>
      </c>
      <c r="BA15">
        <v>108051</v>
      </c>
      <c r="BB15">
        <v>132031</v>
      </c>
      <c r="BC15">
        <v>142017</v>
      </c>
      <c r="BD15">
        <v>146227</v>
      </c>
      <c r="BE15">
        <v>137448</v>
      </c>
      <c r="BF15">
        <v>138126</v>
      </c>
      <c r="BG15">
        <v>98342</v>
      </c>
      <c r="BH15">
        <v>99405</v>
      </c>
      <c r="BI15">
        <v>104442</v>
      </c>
      <c r="BJ15">
        <v>123231</v>
      </c>
      <c r="BK15">
        <v>123891</v>
      </c>
      <c r="BL15">
        <v>145157</v>
      </c>
      <c r="BM15">
        <v>156003</v>
      </c>
      <c r="BN15">
        <v>172188</v>
      </c>
      <c r="BO15">
        <v>212576</v>
      </c>
      <c r="BP15">
        <v>211417</v>
      </c>
      <c r="BQ15">
        <v>149742</v>
      </c>
      <c r="BR15">
        <v>124057</v>
      </c>
      <c r="BS15">
        <v>140373</v>
      </c>
      <c r="BT15">
        <v>211478</v>
      </c>
      <c r="BU15">
        <v>203186</v>
      </c>
      <c r="BV15">
        <v>187630</v>
      </c>
      <c r="BW15">
        <v>179434</v>
      </c>
      <c r="BX15">
        <v>208384</v>
      </c>
      <c r="BY15">
        <v>211563</v>
      </c>
      <c r="BZ15">
        <v>206694</v>
      </c>
      <c r="CA15">
        <v>236034</v>
      </c>
      <c r="CB15">
        <v>253214</v>
      </c>
      <c r="CC15">
        <v>326633</v>
      </c>
      <c r="CD15">
        <v>361353</v>
      </c>
      <c r="CE15">
        <v>356889</v>
      </c>
    </row>
    <row r="16" spans="1:83" x14ac:dyDescent="0.15">
      <c r="A16" t="s">
        <v>126</v>
      </c>
      <c r="B16" t="s">
        <v>86</v>
      </c>
      <c r="C16">
        <v>1000000</v>
      </c>
      <c r="D16" t="s">
        <v>87</v>
      </c>
      <c r="E16" t="s">
        <v>127</v>
      </c>
      <c r="F16" s="4" t="s">
        <v>128</v>
      </c>
      <c r="G16">
        <v>0</v>
      </c>
      <c r="H16">
        <v>32</v>
      </c>
      <c r="I16">
        <v>129</v>
      </c>
      <c r="J16">
        <v>180</v>
      </c>
      <c r="K16">
        <v>265</v>
      </c>
      <c r="L16">
        <v>143</v>
      </c>
      <c r="M16">
        <v>90</v>
      </c>
      <c r="N16">
        <v>195</v>
      </c>
      <c r="O16">
        <v>204</v>
      </c>
      <c r="P16">
        <v>291</v>
      </c>
      <c r="Q16">
        <v>217</v>
      </c>
      <c r="R16">
        <v>305</v>
      </c>
      <c r="S16">
        <v>435</v>
      </c>
      <c r="T16">
        <v>210</v>
      </c>
      <c r="U16">
        <v>742</v>
      </c>
      <c r="V16">
        <v>788</v>
      </c>
      <c r="W16">
        <v>1089</v>
      </c>
      <c r="X16">
        <v>1304</v>
      </c>
      <c r="Y16">
        <v>969</v>
      </c>
      <c r="Z16">
        <v>1694</v>
      </c>
      <c r="AA16">
        <v>1370</v>
      </c>
      <c r="AB16">
        <v>2852</v>
      </c>
      <c r="AC16">
        <v>3952</v>
      </c>
      <c r="AD16">
        <v>5099</v>
      </c>
      <c r="AE16">
        <v>7628</v>
      </c>
      <c r="AF16">
        <v>9389</v>
      </c>
      <c r="AG16">
        <v>11275</v>
      </c>
      <c r="AH16">
        <v>14235</v>
      </c>
      <c r="AI16">
        <v>14876</v>
      </c>
      <c r="AJ16">
        <v>16520</v>
      </c>
      <c r="AK16">
        <v>8371</v>
      </c>
      <c r="AL16">
        <v>10511</v>
      </c>
      <c r="AM16">
        <v>9390</v>
      </c>
      <c r="AN16">
        <v>9512</v>
      </c>
      <c r="AO16">
        <v>9586</v>
      </c>
      <c r="AP16">
        <v>9132</v>
      </c>
      <c r="AQ16">
        <v>8199</v>
      </c>
      <c r="AR16">
        <v>7948</v>
      </c>
      <c r="AS16">
        <v>12188</v>
      </c>
      <c r="AT16">
        <v>9742</v>
      </c>
      <c r="AU16">
        <v>10478</v>
      </c>
      <c r="AV16">
        <v>10173</v>
      </c>
      <c r="AW16">
        <v>14966</v>
      </c>
      <c r="AX16">
        <v>13648</v>
      </c>
      <c r="AY16">
        <v>14291</v>
      </c>
      <c r="AZ16">
        <v>13836</v>
      </c>
      <c r="BA16">
        <v>14695</v>
      </c>
      <c r="BB16">
        <v>17044</v>
      </c>
      <c r="BC16">
        <v>19411</v>
      </c>
      <c r="BD16">
        <v>18826</v>
      </c>
      <c r="BE16">
        <v>20142</v>
      </c>
      <c r="BF16">
        <v>31534</v>
      </c>
      <c r="BG16">
        <v>36145</v>
      </c>
      <c r="BH16">
        <v>39433</v>
      </c>
      <c r="BI16">
        <v>47604</v>
      </c>
      <c r="BJ16">
        <v>57765</v>
      </c>
      <c r="BK16">
        <v>60169</v>
      </c>
      <c r="BL16">
        <v>64789</v>
      </c>
      <c r="BM16">
        <v>75679</v>
      </c>
      <c r="BN16">
        <v>95023</v>
      </c>
      <c r="BO16">
        <v>110974</v>
      </c>
      <c r="BP16">
        <v>122669</v>
      </c>
      <c r="BQ16">
        <v>69462</v>
      </c>
      <c r="BR16">
        <v>57286</v>
      </c>
      <c r="BS16">
        <v>55987</v>
      </c>
      <c r="BT16">
        <v>123511</v>
      </c>
      <c r="BU16">
        <v>123604</v>
      </c>
      <c r="BV16">
        <v>112132</v>
      </c>
      <c r="BW16">
        <v>106504</v>
      </c>
      <c r="BX16">
        <v>131589</v>
      </c>
      <c r="BY16">
        <v>139396</v>
      </c>
      <c r="BZ16">
        <v>132530</v>
      </c>
      <c r="CA16">
        <v>123727</v>
      </c>
      <c r="CB16">
        <v>162126</v>
      </c>
      <c r="CC16">
        <v>217568</v>
      </c>
      <c r="CD16">
        <v>247867</v>
      </c>
      <c r="CE16">
        <v>244945</v>
      </c>
    </row>
    <row r="17" spans="1:83" x14ac:dyDescent="0.15">
      <c r="A17" t="s">
        <v>129</v>
      </c>
      <c r="B17" t="s">
        <v>86</v>
      </c>
      <c r="C17">
        <v>1000000</v>
      </c>
      <c r="D17" t="s">
        <v>87</v>
      </c>
      <c r="E17" t="s">
        <v>130</v>
      </c>
      <c r="F17" s="4" t="s">
        <v>131</v>
      </c>
      <c r="G17">
        <v>18508</v>
      </c>
      <c r="H17">
        <v>12779</v>
      </c>
      <c r="I17">
        <v>12291</v>
      </c>
      <c r="J17">
        <v>12853</v>
      </c>
      <c r="K17">
        <v>14697</v>
      </c>
      <c r="L17">
        <v>17870</v>
      </c>
      <c r="M17">
        <v>18653</v>
      </c>
      <c r="N17">
        <v>17647</v>
      </c>
      <c r="O17">
        <v>19240</v>
      </c>
      <c r="P17">
        <v>17523</v>
      </c>
      <c r="Q17">
        <v>21281</v>
      </c>
      <c r="R17">
        <v>16718</v>
      </c>
      <c r="S17">
        <v>15589</v>
      </c>
      <c r="T17">
        <v>16092</v>
      </c>
      <c r="U17">
        <v>21621</v>
      </c>
      <c r="V17">
        <v>15752</v>
      </c>
      <c r="W17">
        <v>14096</v>
      </c>
      <c r="X17">
        <v>12307</v>
      </c>
      <c r="Y17">
        <v>15128</v>
      </c>
      <c r="Z17">
        <v>14481</v>
      </c>
      <c r="AA17">
        <v>12548</v>
      </c>
      <c r="AB17">
        <v>11054</v>
      </c>
      <c r="AC17">
        <v>8614</v>
      </c>
      <c r="AD17">
        <v>8959</v>
      </c>
      <c r="AE17">
        <v>5646</v>
      </c>
      <c r="AF17">
        <v>6283</v>
      </c>
      <c r="AG17">
        <v>9057</v>
      </c>
      <c r="AH17">
        <v>6881</v>
      </c>
      <c r="AI17">
        <v>2482</v>
      </c>
      <c r="AJ17">
        <v>2613</v>
      </c>
      <c r="AK17">
        <v>14264</v>
      </c>
      <c r="AL17">
        <v>21547</v>
      </c>
      <c r="AM17">
        <v>16556</v>
      </c>
      <c r="AN17">
        <v>15070</v>
      </c>
      <c r="AO17">
        <v>13472</v>
      </c>
      <c r="AP17">
        <v>13697</v>
      </c>
      <c r="AQ17">
        <v>18652</v>
      </c>
      <c r="AR17">
        <v>21011</v>
      </c>
      <c r="AS17">
        <v>30144</v>
      </c>
      <c r="AT17">
        <v>36467</v>
      </c>
      <c r="AU17">
        <v>41102</v>
      </c>
      <c r="AV17">
        <v>40325</v>
      </c>
      <c r="AW17">
        <v>31790</v>
      </c>
      <c r="AX17">
        <v>27933</v>
      </c>
      <c r="AY17">
        <v>51432</v>
      </c>
      <c r="AZ17">
        <v>37649</v>
      </c>
      <c r="BA17">
        <v>43426</v>
      </c>
      <c r="BB17">
        <v>60589</v>
      </c>
      <c r="BC17">
        <v>48839</v>
      </c>
      <c r="BD17">
        <v>50820</v>
      </c>
      <c r="BE17">
        <v>57098</v>
      </c>
      <c r="BF17">
        <v>47095</v>
      </c>
      <c r="BG17">
        <v>26846</v>
      </c>
      <c r="BH17">
        <v>23615</v>
      </c>
      <c r="BI17">
        <v>19420</v>
      </c>
      <c r="BJ17">
        <v>18105</v>
      </c>
      <c r="BK17">
        <v>16852</v>
      </c>
      <c r="BL17">
        <v>31354</v>
      </c>
      <c r="BM17">
        <v>33690</v>
      </c>
      <c r="BN17">
        <v>34014</v>
      </c>
      <c r="BO17">
        <v>52117</v>
      </c>
      <c r="BP17">
        <v>45463</v>
      </c>
      <c r="BQ17">
        <v>38319</v>
      </c>
      <c r="BR17">
        <v>30455</v>
      </c>
      <c r="BS17">
        <v>42964</v>
      </c>
      <c r="BT17">
        <v>48024</v>
      </c>
      <c r="BU17">
        <v>42968</v>
      </c>
      <c r="BV17">
        <v>39437</v>
      </c>
      <c r="BW17">
        <v>38822</v>
      </c>
      <c r="BX17">
        <v>41679</v>
      </c>
      <c r="BY17">
        <v>37425</v>
      </c>
      <c r="BZ17">
        <v>41185</v>
      </c>
      <c r="CA17">
        <v>71295</v>
      </c>
      <c r="CB17">
        <v>54404</v>
      </c>
      <c r="CC17">
        <v>63629</v>
      </c>
      <c r="CD17">
        <v>72903</v>
      </c>
      <c r="CE17">
        <v>71652</v>
      </c>
    </row>
    <row r="18" spans="1:83" x14ac:dyDescent="0.15">
      <c r="A18" t="s">
        <v>132</v>
      </c>
      <c r="B18" t="s">
        <v>86</v>
      </c>
      <c r="C18">
        <v>1000000</v>
      </c>
      <c r="D18" t="s">
        <v>87</v>
      </c>
      <c r="E18" t="s">
        <v>133</v>
      </c>
      <c r="F18" s="4" t="s">
        <v>134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300</v>
      </c>
      <c r="R18">
        <v>400</v>
      </c>
      <c r="S18">
        <v>800</v>
      </c>
      <c r="T18">
        <v>600</v>
      </c>
      <c r="U18">
        <v>1200</v>
      </c>
      <c r="V18">
        <v>1116</v>
      </c>
      <c r="W18">
        <v>1248</v>
      </c>
      <c r="X18">
        <v>1275</v>
      </c>
      <c r="Y18">
        <v>1608</v>
      </c>
      <c r="Z18">
        <v>1000</v>
      </c>
      <c r="AA18">
        <v>1238</v>
      </c>
      <c r="AB18">
        <v>1027</v>
      </c>
      <c r="AC18">
        <v>1005</v>
      </c>
      <c r="AD18">
        <v>1434</v>
      </c>
      <c r="AE18">
        <v>1676</v>
      </c>
      <c r="AF18">
        <v>1209</v>
      </c>
      <c r="AG18">
        <v>911</v>
      </c>
      <c r="AH18">
        <v>1036</v>
      </c>
      <c r="AI18">
        <v>2035</v>
      </c>
      <c r="AJ18">
        <v>2953</v>
      </c>
      <c r="AK18">
        <v>3264</v>
      </c>
      <c r="AL18">
        <v>2868</v>
      </c>
      <c r="AM18">
        <v>2672</v>
      </c>
      <c r="AN18">
        <v>2773</v>
      </c>
      <c r="AO18">
        <v>1800</v>
      </c>
      <c r="AP18">
        <v>2205</v>
      </c>
      <c r="AQ18">
        <v>5779</v>
      </c>
      <c r="AR18">
        <v>3322</v>
      </c>
      <c r="AS18">
        <v>4187</v>
      </c>
      <c r="AT18">
        <v>5319</v>
      </c>
      <c r="AU18">
        <v>4017</v>
      </c>
      <c r="AV18">
        <v>2360</v>
      </c>
      <c r="AW18">
        <v>2648</v>
      </c>
      <c r="AX18">
        <v>6022</v>
      </c>
      <c r="AY18">
        <v>9170</v>
      </c>
      <c r="AZ18">
        <v>3285</v>
      </c>
      <c r="BA18">
        <v>5112</v>
      </c>
      <c r="BB18">
        <v>8585</v>
      </c>
      <c r="BC18">
        <v>19059</v>
      </c>
      <c r="BD18">
        <v>19875</v>
      </c>
      <c r="BE18">
        <v>23421</v>
      </c>
      <c r="BF18">
        <v>28480</v>
      </c>
      <c r="BG18">
        <v>7971</v>
      </c>
      <c r="BH18">
        <v>10609</v>
      </c>
      <c r="BI18">
        <v>12416</v>
      </c>
      <c r="BJ18">
        <v>15423</v>
      </c>
      <c r="BK18">
        <v>17539</v>
      </c>
      <c r="BL18">
        <v>16883</v>
      </c>
      <c r="BM18">
        <v>11230</v>
      </c>
      <c r="BN18">
        <v>11338</v>
      </c>
      <c r="BO18">
        <v>17372</v>
      </c>
      <c r="BP18">
        <v>15154</v>
      </c>
      <c r="BQ18">
        <v>12773</v>
      </c>
      <c r="BR18">
        <v>10152</v>
      </c>
      <c r="BS18">
        <v>14321</v>
      </c>
      <c r="BT18">
        <v>16008</v>
      </c>
      <c r="BU18">
        <v>14323</v>
      </c>
      <c r="BV18">
        <v>13146</v>
      </c>
      <c r="BW18">
        <v>12941</v>
      </c>
      <c r="BX18">
        <v>13893</v>
      </c>
      <c r="BY18">
        <v>12475</v>
      </c>
      <c r="BZ18">
        <v>13728</v>
      </c>
      <c r="CA18">
        <v>23765</v>
      </c>
      <c r="CB18">
        <v>18135</v>
      </c>
      <c r="CC18">
        <v>21210</v>
      </c>
      <c r="CD18">
        <v>24301</v>
      </c>
      <c r="CE18">
        <v>23884</v>
      </c>
    </row>
    <row r="19" spans="1:83" x14ac:dyDescent="0.15">
      <c r="A19" t="s">
        <v>135</v>
      </c>
      <c r="B19" t="s">
        <v>86</v>
      </c>
      <c r="C19">
        <v>1000000</v>
      </c>
      <c r="D19" t="s">
        <v>87</v>
      </c>
      <c r="E19" t="s">
        <v>136</v>
      </c>
      <c r="F19" s="4" t="s">
        <v>137</v>
      </c>
      <c r="G19">
        <v>252</v>
      </c>
      <c r="H19">
        <v>313</v>
      </c>
      <c r="I19">
        <v>350</v>
      </c>
      <c r="J19">
        <v>452</v>
      </c>
      <c r="K19">
        <v>485</v>
      </c>
      <c r="L19">
        <v>652</v>
      </c>
      <c r="M19">
        <v>844</v>
      </c>
      <c r="N19">
        <v>813</v>
      </c>
      <c r="O19">
        <v>1005</v>
      </c>
      <c r="P19">
        <v>972</v>
      </c>
      <c r="Q19">
        <v>1219</v>
      </c>
      <c r="R19">
        <v>1342</v>
      </c>
      <c r="S19">
        <v>1479</v>
      </c>
      <c r="T19">
        <v>1958</v>
      </c>
      <c r="U19">
        <v>1794</v>
      </c>
      <c r="V19">
        <v>2382</v>
      </c>
      <c r="W19">
        <v>2395</v>
      </c>
      <c r="X19">
        <v>2697</v>
      </c>
      <c r="Y19">
        <v>3787</v>
      </c>
      <c r="Z19">
        <v>3680</v>
      </c>
      <c r="AA19">
        <v>4600</v>
      </c>
      <c r="AB19">
        <v>3639</v>
      </c>
      <c r="AC19">
        <v>3300</v>
      </c>
      <c r="AD19">
        <v>3782</v>
      </c>
      <c r="AE19">
        <v>2800</v>
      </c>
      <c r="AF19">
        <v>2175</v>
      </c>
      <c r="AG19">
        <v>3175</v>
      </c>
      <c r="AH19">
        <v>4175</v>
      </c>
      <c r="AI19">
        <v>4038</v>
      </c>
      <c r="AJ19">
        <v>4654</v>
      </c>
      <c r="AK19">
        <v>4846</v>
      </c>
      <c r="AL19">
        <v>4228</v>
      </c>
      <c r="AM19">
        <v>4370</v>
      </c>
      <c r="AN19">
        <v>4611</v>
      </c>
      <c r="AO19">
        <v>4458</v>
      </c>
      <c r="AP19">
        <v>9362</v>
      </c>
      <c r="AQ19">
        <v>10606</v>
      </c>
      <c r="AR19">
        <v>12178</v>
      </c>
      <c r="AS19">
        <v>18268</v>
      </c>
      <c r="AT19">
        <v>22483</v>
      </c>
      <c r="AU19">
        <v>25572</v>
      </c>
      <c r="AV19">
        <v>25055</v>
      </c>
      <c r="AW19">
        <v>19364</v>
      </c>
      <c r="AX19">
        <v>16794</v>
      </c>
      <c r="AY19">
        <v>32351</v>
      </c>
      <c r="AZ19">
        <v>24671</v>
      </c>
      <c r="BA19">
        <v>44818</v>
      </c>
      <c r="BB19">
        <v>45813</v>
      </c>
      <c r="BC19">
        <v>54708</v>
      </c>
      <c r="BD19">
        <v>56706</v>
      </c>
      <c r="BE19">
        <v>36787</v>
      </c>
      <c r="BF19">
        <v>31017</v>
      </c>
      <c r="BG19">
        <v>27380</v>
      </c>
      <c r="BH19">
        <v>25748</v>
      </c>
      <c r="BI19">
        <v>25002</v>
      </c>
      <c r="BJ19">
        <v>31938</v>
      </c>
      <c r="BK19">
        <v>29331</v>
      </c>
      <c r="BL19">
        <v>32131</v>
      </c>
      <c r="BM19">
        <v>35404</v>
      </c>
      <c r="BN19">
        <v>31813</v>
      </c>
      <c r="BO19">
        <v>32113</v>
      </c>
      <c r="BP19">
        <v>28131</v>
      </c>
      <c r="BQ19">
        <v>29188</v>
      </c>
      <c r="BR19">
        <v>26164</v>
      </c>
      <c r="BS19">
        <v>27101</v>
      </c>
      <c r="BT19">
        <v>23935</v>
      </c>
      <c r="BU19">
        <v>22291</v>
      </c>
      <c r="BV19">
        <v>22915</v>
      </c>
      <c r="BW19">
        <v>21167</v>
      </c>
      <c r="BX19">
        <v>21223</v>
      </c>
      <c r="BY19">
        <v>22267</v>
      </c>
      <c r="BZ19">
        <v>19251</v>
      </c>
      <c r="CA19">
        <v>17247</v>
      </c>
      <c r="CB19">
        <v>18549</v>
      </c>
      <c r="CC19">
        <v>24226</v>
      </c>
      <c r="CD19">
        <v>16282</v>
      </c>
      <c r="CE19">
        <v>16408</v>
      </c>
    </row>
    <row r="20" spans="1:83" x14ac:dyDescent="0.15">
      <c r="A20" t="s">
        <v>138</v>
      </c>
      <c r="B20" t="s">
        <v>86</v>
      </c>
      <c r="C20">
        <v>1000000</v>
      </c>
      <c r="D20" t="s">
        <v>87</v>
      </c>
      <c r="E20" t="s">
        <v>139</v>
      </c>
      <c r="F20" s="4" t="s">
        <v>140</v>
      </c>
      <c r="G20">
        <v>2799</v>
      </c>
      <c r="H20">
        <v>3331</v>
      </c>
      <c r="I20">
        <v>4135</v>
      </c>
      <c r="J20">
        <v>4935</v>
      </c>
      <c r="K20">
        <v>5501</v>
      </c>
      <c r="L20">
        <v>6614</v>
      </c>
      <c r="M20">
        <v>7241</v>
      </c>
      <c r="N20">
        <v>7081</v>
      </c>
      <c r="O20">
        <v>7341</v>
      </c>
      <c r="P20">
        <v>7687</v>
      </c>
      <c r="Q20">
        <v>8385</v>
      </c>
      <c r="R20">
        <v>8701</v>
      </c>
      <c r="S20">
        <v>8742</v>
      </c>
      <c r="T20">
        <v>8907</v>
      </c>
      <c r="U20">
        <v>10139</v>
      </c>
      <c r="V20">
        <v>9647</v>
      </c>
      <c r="W20">
        <v>9650</v>
      </c>
      <c r="X20">
        <v>10444</v>
      </c>
      <c r="Y20">
        <v>11405</v>
      </c>
      <c r="Z20">
        <v>12365</v>
      </c>
      <c r="AA20">
        <v>13314</v>
      </c>
      <c r="AB20">
        <v>13511</v>
      </c>
      <c r="AC20">
        <v>13793</v>
      </c>
      <c r="AD20">
        <v>13896</v>
      </c>
      <c r="AE20">
        <v>14263</v>
      </c>
      <c r="AF20">
        <v>14876</v>
      </c>
      <c r="AG20">
        <v>17553</v>
      </c>
      <c r="AH20">
        <v>18224</v>
      </c>
      <c r="AI20">
        <v>19480</v>
      </c>
      <c r="AJ20">
        <v>21022</v>
      </c>
      <c r="AK20">
        <v>30909</v>
      </c>
      <c r="AL20">
        <v>33867</v>
      </c>
      <c r="AM20">
        <v>37943</v>
      </c>
      <c r="AN20">
        <v>42037</v>
      </c>
      <c r="AO20">
        <v>47101</v>
      </c>
      <c r="AP20">
        <v>56795</v>
      </c>
      <c r="AQ20">
        <v>66228</v>
      </c>
      <c r="AR20">
        <v>69033</v>
      </c>
      <c r="AS20">
        <v>75406</v>
      </c>
      <c r="AT20">
        <v>89824</v>
      </c>
      <c r="AU20">
        <v>99518</v>
      </c>
      <c r="AV20">
        <v>97167</v>
      </c>
      <c r="AW20">
        <v>105555</v>
      </c>
      <c r="AX20">
        <v>128902</v>
      </c>
      <c r="AY20">
        <v>118228</v>
      </c>
      <c r="AZ20">
        <v>119913</v>
      </c>
      <c r="BA20">
        <v>121960</v>
      </c>
      <c r="BB20">
        <v>125777</v>
      </c>
      <c r="BC20">
        <v>129512</v>
      </c>
      <c r="BD20">
        <v>142974</v>
      </c>
      <c r="BE20">
        <v>142982</v>
      </c>
      <c r="BF20">
        <v>132095</v>
      </c>
      <c r="BG20">
        <v>164654</v>
      </c>
      <c r="BH20">
        <v>146610</v>
      </c>
      <c r="BI20">
        <v>117347</v>
      </c>
      <c r="BJ20">
        <v>125025</v>
      </c>
      <c r="BK20">
        <v>119690</v>
      </c>
      <c r="BL20">
        <v>124359</v>
      </c>
      <c r="BM20">
        <v>110823</v>
      </c>
      <c r="BN20">
        <v>125809</v>
      </c>
      <c r="BO20">
        <v>127833</v>
      </c>
      <c r="BP20">
        <v>108110</v>
      </c>
      <c r="BQ20">
        <v>90798</v>
      </c>
      <c r="BR20">
        <v>80591</v>
      </c>
      <c r="BS20">
        <v>72768</v>
      </c>
      <c r="BT20">
        <v>72377</v>
      </c>
      <c r="BU20">
        <v>72445</v>
      </c>
      <c r="BV20">
        <v>69768</v>
      </c>
      <c r="BW20">
        <v>65211</v>
      </c>
      <c r="BX20">
        <v>66728</v>
      </c>
      <c r="BY20">
        <v>89675</v>
      </c>
      <c r="BZ20">
        <v>68025</v>
      </c>
      <c r="CA20">
        <v>68461</v>
      </c>
      <c r="CB20">
        <v>70699</v>
      </c>
      <c r="CC20">
        <v>72245</v>
      </c>
      <c r="CD20">
        <v>80265</v>
      </c>
      <c r="CE20">
        <v>86955</v>
      </c>
    </row>
    <row r="21" spans="1:83" x14ac:dyDescent="0.15">
      <c r="A21" t="s">
        <v>141</v>
      </c>
      <c r="B21" t="s">
        <v>86</v>
      </c>
      <c r="C21">
        <v>1000000</v>
      </c>
      <c r="D21" t="s">
        <v>87</v>
      </c>
      <c r="E21" t="s">
        <v>142</v>
      </c>
      <c r="F21" s="4" t="s">
        <v>143</v>
      </c>
      <c r="G21">
        <v>5</v>
      </c>
      <c r="H21">
        <v>10</v>
      </c>
      <c r="I21">
        <v>16</v>
      </c>
      <c r="J21">
        <v>30</v>
      </c>
      <c r="K21">
        <v>24</v>
      </c>
      <c r="L21">
        <v>23</v>
      </c>
      <c r="M21">
        <v>26</v>
      </c>
      <c r="N21">
        <v>30</v>
      </c>
      <c r="O21">
        <v>32</v>
      </c>
      <c r="P21">
        <v>33</v>
      </c>
      <c r="Q21">
        <v>47</v>
      </c>
      <c r="R21">
        <v>54</v>
      </c>
      <c r="S21">
        <v>72</v>
      </c>
      <c r="T21">
        <v>87</v>
      </c>
      <c r="U21">
        <v>21</v>
      </c>
      <c r="V21">
        <v>24</v>
      </c>
      <c r="W21">
        <v>33</v>
      </c>
      <c r="X21">
        <v>54</v>
      </c>
      <c r="Y21">
        <v>60</v>
      </c>
      <c r="Z21">
        <v>84</v>
      </c>
      <c r="AA21">
        <v>88</v>
      </c>
      <c r="AB21">
        <v>114</v>
      </c>
      <c r="AC21">
        <v>112</v>
      </c>
      <c r="AD21">
        <v>100</v>
      </c>
      <c r="AE21">
        <v>236</v>
      </c>
      <c r="AF21">
        <v>214</v>
      </c>
      <c r="AG21">
        <v>239</v>
      </c>
      <c r="AH21">
        <v>226</v>
      </c>
      <c r="AI21">
        <v>324</v>
      </c>
      <c r="AJ21">
        <v>746</v>
      </c>
      <c r="AK21">
        <v>9697</v>
      </c>
      <c r="AL21">
        <v>10367</v>
      </c>
      <c r="AM21">
        <v>13582</v>
      </c>
      <c r="AN21">
        <v>15539</v>
      </c>
      <c r="AO21">
        <v>18803</v>
      </c>
      <c r="AP21">
        <v>27394</v>
      </c>
      <c r="AQ21">
        <v>35906</v>
      </c>
      <c r="AR21">
        <v>38246</v>
      </c>
      <c r="AS21">
        <v>40041</v>
      </c>
      <c r="AT21">
        <v>51446</v>
      </c>
      <c r="AU21">
        <v>57013</v>
      </c>
      <c r="AV21">
        <v>50150</v>
      </c>
      <c r="AW21">
        <v>51527</v>
      </c>
      <c r="AX21">
        <v>68145</v>
      </c>
      <c r="AY21">
        <v>54399</v>
      </c>
      <c r="AZ21">
        <v>52772</v>
      </c>
      <c r="BA21">
        <v>58972</v>
      </c>
      <c r="BB21">
        <v>60036</v>
      </c>
      <c r="BC21">
        <v>52283</v>
      </c>
      <c r="BD21">
        <v>56353</v>
      </c>
      <c r="BE21">
        <v>57921</v>
      </c>
      <c r="BF21">
        <v>54350</v>
      </c>
      <c r="BG21">
        <v>80245</v>
      </c>
      <c r="BH21">
        <v>67261</v>
      </c>
      <c r="BI21">
        <v>41227</v>
      </c>
      <c r="BJ21">
        <v>43535</v>
      </c>
      <c r="BK21">
        <v>46637</v>
      </c>
      <c r="BL21">
        <v>49561</v>
      </c>
      <c r="BM21">
        <v>51758</v>
      </c>
      <c r="BN21">
        <v>66598</v>
      </c>
      <c r="BO21">
        <v>68250</v>
      </c>
      <c r="BP21">
        <v>59817</v>
      </c>
      <c r="BQ21">
        <v>41374</v>
      </c>
      <c r="BR21">
        <v>33649</v>
      </c>
      <c r="BS21">
        <v>29548</v>
      </c>
      <c r="BT21">
        <v>27985</v>
      </c>
      <c r="BU21">
        <v>27428</v>
      </c>
      <c r="BV21">
        <v>25542</v>
      </c>
      <c r="BW21">
        <v>27096</v>
      </c>
      <c r="BX21">
        <v>29043</v>
      </c>
      <c r="BY21">
        <v>52583</v>
      </c>
      <c r="BZ21">
        <v>29825</v>
      </c>
      <c r="CA21">
        <v>32218</v>
      </c>
      <c r="CB21">
        <v>34213</v>
      </c>
      <c r="CC21">
        <v>36419</v>
      </c>
      <c r="CD21">
        <v>44439</v>
      </c>
      <c r="CE21">
        <v>51111</v>
      </c>
    </row>
    <row r="22" spans="1:83" x14ac:dyDescent="0.15">
      <c r="A22" t="s">
        <v>144</v>
      </c>
      <c r="B22" t="s">
        <v>86</v>
      </c>
      <c r="C22">
        <v>1000000</v>
      </c>
      <c r="D22" t="s">
        <v>87</v>
      </c>
      <c r="E22" t="s">
        <v>145</v>
      </c>
      <c r="F22" s="4" t="s">
        <v>146</v>
      </c>
      <c r="G22">
        <v>2794</v>
      </c>
      <c r="H22">
        <v>3321</v>
      </c>
      <c r="I22">
        <v>4119</v>
      </c>
      <c r="J22">
        <v>4905</v>
      </c>
      <c r="K22">
        <v>5477</v>
      </c>
      <c r="L22">
        <v>6591</v>
      </c>
      <c r="M22">
        <v>7215</v>
      </c>
      <c r="N22">
        <v>7051</v>
      </c>
      <c r="O22">
        <v>7309</v>
      </c>
      <c r="P22">
        <v>7654</v>
      </c>
      <c r="Q22">
        <v>8338</v>
      </c>
      <c r="R22">
        <v>8647</v>
      </c>
      <c r="S22">
        <v>8670</v>
      </c>
      <c r="T22">
        <v>8820</v>
      </c>
      <c r="U22">
        <v>10118</v>
      </c>
      <c r="V22">
        <v>9623</v>
      </c>
      <c r="W22">
        <v>9617</v>
      </c>
      <c r="X22">
        <v>10390</v>
      </c>
      <c r="Y22">
        <v>11345</v>
      </c>
      <c r="Z22">
        <v>12281</v>
      </c>
      <c r="AA22">
        <v>13226</v>
      </c>
      <c r="AB22">
        <v>13397</v>
      </c>
      <c r="AC22">
        <v>13681</v>
      </c>
      <c r="AD22">
        <v>13796</v>
      </c>
      <c r="AE22">
        <v>14027</v>
      </c>
      <c r="AF22">
        <v>14662</v>
      </c>
      <c r="AG22">
        <v>17314</v>
      </c>
      <c r="AH22">
        <v>17998</v>
      </c>
      <c r="AI22">
        <v>19156</v>
      </c>
      <c r="AJ22">
        <v>20276</v>
      </c>
      <c r="AK22">
        <v>21212</v>
      </c>
      <c r="AL22">
        <v>23500</v>
      </c>
      <c r="AM22">
        <v>24361</v>
      </c>
      <c r="AN22">
        <v>26498</v>
      </c>
      <c r="AO22">
        <v>28298</v>
      </c>
      <c r="AP22">
        <v>29401</v>
      </c>
      <c r="AQ22">
        <v>30322</v>
      </c>
      <c r="AR22">
        <v>30787</v>
      </c>
      <c r="AS22">
        <v>35365</v>
      </c>
      <c r="AT22">
        <v>38378</v>
      </c>
      <c r="AU22">
        <v>42505</v>
      </c>
      <c r="AV22">
        <v>47017</v>
      </c>
      <c r="AW22">
        <v>54028</v>
      </c>
      <c r="AX22">
        <v>60757</v>
      </c>
      <c r="AY22">
        <v>63829</v>
      </c>
      <c r="AZ22">
        <v>67141</v>
      </c>
      <c r="BA22">
        <v>62988</v>
      </c>
      <c r="BB22">
        <v>65741</v>
      </c>
      <c r="BC22">
        <v>77229</v>
      </c>
      <c r="BD22">
        <v>86621</v>
      </c>
      <c r="BE22">
        <v>85061</v>
      </c>
      <c r="BF22">
        <v>77745</v>
      </c>
      <c r="BG22">
        <v>84409</v>
      </c>
      <c r="BH22">
        <v>79349</v>
      </c>
      <c r="BI22">
        <v>76120</v>
      </c>
      <c r="BJ22">
        <v>81490</v>
      </c>
      <c r="BK22">
        <v>73053</v>
      </c>
      <c r="BL22">
        <v>74798</v>
      </c>
      <c r="BM22">
        <v>59065</v>
      </c>
      <c r="BN22">
        <v>59211</v>
      </c>
      <c r="BO22">
        <v>59583</v>
      </c>
      <c r="BP22">
        <v>48293</v>
      </c>
      <c r="BQ22">
        <v>49424</v>
      </c>
      <c r="BR22">
        <v>46942</v>
      </c>
      <c r="BS22">
        <v>43220</v>
      </c>
      <c r="BT22">
        <v>44392</v>
      </c>
      <c r="BU22">
        <v>45017</v>
      </c>
      <c r="BV22">
        <v>44226</v>
      </c>
      <c r="BW22">
        <v>38115</v>
      </c>
      <c r="BX22">
        <v>37685</v>
      </c>
      <c r="BY22">
        <v>37092</v>
      </c>
      <c r="BZ22">
        <v>38200</v>
      </c>
      <c r="CA22">
        <v>36243</v>
      </c>
      <c r="CB22">
        <v>36486</v>
      </c>
      <c r="CC22">
        <v>35826</v>
      </c>
      <c r="CD22">
        <v>35826</v>
      </c>
      <c r="CE22">
        <v>35844</v>
      </c>
    </row>
    <row r="23" spans="1:83" x14ac:dyDescent="0.15">
      <c r="A23" t="s">
        <v>147</v>
      </c>
      <c r="B23" t="s">
        <v>86</v>
      </c>
      <c r="C23">
        <v>1000000</v>
      </c>
      <c r="D23" t="s">
        <v>87</v>
      </c>
      <c r="E23" t="s">
        <v>148</v>
      </c>
      <c r="F23" s="4" t="s">
        <v>149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12666</v>
      </c>
      <c r="Z23">
        <v>13844</v>
      </c>
      <c r="AA23">
        <v>15148</v>
      </c>
      <c r="AB23">
        <v>16847</v>
      </c>
      <c r="AC23">
        <v>18911</v>
      </c>
      <c r="AD23">
        <v>24109</v>
      </c>
      <c r="AE23">
        <v>28569</v>
      </c>
      <c r="AF23">
        <v>32658</v>
      </c>
      <c r="AG23">
        <v>36422</v>
      </c>
      <c r="AH23">
        <v>39717</v>
      </c>
      <c r="AI23">
        <v>46857</v>
      </c>
      <c r="AJ23">
        <v>53476</v>
      </c>
      <c r="AK23">
        <v>60832</v>
      </c>
      <c r="AL23">
        <v>67205</v>
      </c>
      <c r="AM23">
        <v>72035</v>
      </c>
      <c r="AN23">
        <v>72345</v>
      </c>
      <c r="AO23">
        <v>83307</v>
      </c>
      <c r="AP23">
        <v>113879</v>
      </c>
      <c r="AQ23">
        <v>109002</v>
      </c>
      <c r="AR23">
        <v>128675</v>
      </c>
      <c r="AS23">
        <v>159277</v>
      </c>
      <c r="AT23">
        <v>175013</v>
      </c>
      <c r="AU23">
        <v>214143</v>
      </c>
      <c r="AV23">
        <v>265538</v>
      </c>
      <c r="AW23">
        <v>275803</v>
      </c>
      <c r="AX23">
        <v>230344</v>
      </c>
      <c r="AY23">
        <v>287674</v>
      </c>
      <c r="AZ23">
        <v>274682</v>
      </c>
      <c r="BA23">
        <v>353898</v>
      </c>
      <c r="BB23">
        <v>335563</v>
      </c>
      <c r="BC23">
        <v>406967</v>
      </c>
      <c r="BD23">
        <v>369073</v>
      </c>
      <c r="BE23">
        <v>491714</v>
      </c>
      <c r="BF23">
        <v>621908</v>
      </c>
      <c r="BG23">
        <v>916390</v>
      </c>
      <c r="BH23">
        <v>1303141</v>
      </c>
      <c r="BI23">
        <v>2075021</v>
      </c>
      <c r="BJ23">
        <v>1717546</v>
      </c>
      <c r="BK23">
        <v>1286722</v>
      </c>
      <c r="BL23">
        <v>984329</v>
      </c>
      <c r="BM23">
        <v>1106509</v>
      </c>
      <c r="BN23">
        <v>1213832</v>
      </c>
      <c r="BO23">
        <v>1058806</v>
      </c>
      <c r="BP23">
        <v>964060</v>
      </c>
      <c r="BQ23">
        <v>1033221</v>
      </c>
      <c r="BR23">
        <v>791594</v>
      </c>
      <c r="BS23">
        <v>863153</v>
      </c>
      <c r="BT23">
        <v>917209</v>
      </c>
      <c r="BU23">
        <v>940555</v>
      </c>
      <c r="BV23">
        <v>1040110</v>
      </c>
      <c r="BW23">
        <v>1359761</v>
      </c>
      <c r="BX23">
        <v>1553751</v>
      </c>
      <c r="BY23">
        <v>1499935</v>
      </c>
      <c r="BZ23">
        <v>1712941</v>
      </c>
      <c r="CA23">
        <v>1949283</v>
      </c>
      <c r="CB23">
        <v>1789868</v>
      </c>
      <c r="CC23">
        <v>2317738</v>
      </c>
      <c r="CD23">
        <v>2543177</v>
      </c>
      <c r="CE23">
        <v>3100553</v>
      </c>
    </row>
    <row r="24" spans="1:83" x14ac:dyDescent="0.15">
      <c r="A24" t="s">
        <v>150</v>
      </c>
      <c r="B24" t="s">
        <v>86</v>
      </c>
      <c r="C24">
        <v>1000000</v>
      </c>
      <c r="D24" t="s">
        <v>87</v>
      </c>
      <c r="E24" t="s">
        <v>151</v>
      </c>
      <c r="F24" s="4" t="s">
        <v>152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168</v>
      </c>
      <c r="Y24">
        <v>203</v>
      </c>
      <c r="Z24">
        <v>253</v>
      </c>
      <c r="AA24">
        <v>330</v>
      </c>
      <c r="AB24">
        <v>425</v>
      </c>
      <c r="AC24">
        <v>635</v>
      </c>
      <c r="AD24">
        <v>845</v>
      </c>
      <c r="AE24">
        <v>745</v>
      </c>
      <c r="AF24">
        <v>645</v>
      </c>
      <c r="AG24">
        <v>690</v>
      </c>
      <c r="AH24">
        <v>732</v>
      </c>
      <c r="AI24">
        <v>775</v>
      </c>
      <c r="AJ24">
        <v>816</v>
      </c>
      <c r="AK24">
        <v>890</v>
      </c>
      <c r="AL24">
        <v>964</v>
      </c>
      <c r="AM24">
        <v>790</v>
      </c>
      <c r="AN24">
        <v>618</v>
      </c>
      <c r="AO24">
        <v>1060</v>
      </c>
      <c r="AP24">
        <v>1507</v>
      </c>
      <c r="AQ24">
        <v>1624</v>
      </c>
      <c r="AR24">
        <v>3070</v>
      </c>
      <c r="AS24">
        <v>4501</v>
      </c>
      <c r="AT24">
        <v>7193</v>
      </c>
      <c r="AU24">
        <v>10799</v>
      </c>
      <c r="AV24">
        <v>15676</v>
      </c>
      <c r="AW24">
        <v>12817</v>
      </c>
      <c r="AX24">
        <v>10627</v>
      </c>
      <c r="AY24">
        <v>11709</v>
      </c>
      <c r="AZ24">
        <v>9723</v>
      </c>
      <c r="BA24">
        <v>14828</v>
      </c>
      <c r="BB24">
        <v>21148</v>
      </c>
      <c r="BC24">
        <v>29776</v>
      </c>
      <c r="BD24">
        <v>31061</v>
      </c>
      <c r="BE24">
        <v>45668</v>
      </c>
      <c r="BF24">
        <v>62566</v>
      </c>
      <c r="BG24">
        <v>74492</v>
      </c>
      <c r="BH24">
        <v>97645</v>
      </c>
      <c r="BI24">
        <v>127331</v>
      </c>
      <c r="BJ24">
        <v>118041</v>
      </c>
      <c r="BK24">
        <v>108960</v>
      </c>
      <c r="BL24">
        <v>90918</v>
      </c>
      <c r="BM24">
        <v>114880</v>
      </c>
      <c r="BN24">
        <v>125553</v>
      </c>
      <c r="BO24">
        <v>134404</v>
      </c>
      <c r="BP24">
        <v>173221</v>
      </c>
      <c r="BQ24">
        <v>178028</v>
      </c>
      <c r="BR24">
        <v>106333</v>
      </c>
      <c r="BS24">
        <v>162039</v>
      </c>
      <c r="BT24">
        <v>185670</v>
      </c>
      <c r="BU24">
        <v>165891</v>
      </c>
      <c r="BV24">
        <v>179281</v>
      </c>
      <c r="BW24">
        <v>209809</v>
      </c>
      <c r="BX24">
        <v>242448</v>
      </c>
      <c r="BY24">
        <v>248180</v>
      </c>
      <c r="BZ24">
        <v>256019</v>
      </c>
      <c r="CA24">
        <v>301002</v>
      </c>
      <c r="CB24">
        <v>269922</v>
      </c>
      <c r="CC24">
        <v>326445</v>
      </c>
      <c r="CD24">
        <v>376424</v>
      </c>
      <c r="CE24">
        <v>433879</v>
      </c>
    </row>
    <row r="25" spans="1:83" x14ac:dyDescent="0.15">
      <c r="A25" t="s">
        <v>153</v>
      </c>
      <c r="B25" t="s">
        <v>86</v>
      </c>
      <c r="C25">
        <v>1000000</v>
      </c>
      <c r="D25" t="s">
        <v>87</v>
      </c>
      <c r="E25" t="s">
        <v>154</v>
      </c>
      <c r="F25" s="4" t="s">
        <v>155</v>
      </c>
      <c r="G25">
        <v>19821</v>
      </c>
      <c r="H25">
        <v>22579</v>
      </c>
      <c r="I25">
        <v>27554</v>
      </c>
      <c r="J25">
        <v>29600</v>
      </c>
      <c r="K25">
        <v>28640</v>
      </c>
      <c r="L25">
        <v>38583</v>
      </c>
      <c r="M25">
        <v>41964</v>
      </c>
      <c r="N25">
        <v>45866</v>
      </c>
      <c r="O25">
        <v>45021</v>
      </c>
      <c r="P25">
        <v>48406</v>
      </c>
      <c r="Q25">
        <v>58009</v>
      </c>
      <c r="R25">
        <v>63809</v>
      </c>
      <c r="S25">
        <v>65436</v>
      </c>
      <c r="T25">
        <v>71840</v>
      </c>
      <c r="U25">
        <v>77386</v>
      </c>
      <c r="V25">
        <v>82311</v>
      </c>
      <c r="W25">
        <v>88253</v>
      </c>
      <c r="X25">
        <v>92772</v>
      </c>
      <c r="Y25">
        <v>99080</v>
      </c>
      <c r="Z25">
        <v>107622</v>
      </c>
      <c r="AA25">
        <v>120892</v>
      </c>
      <c r="AB25">
        <v>133268</v>
      </c>
      <c r="AC25">
        <v>141598</v>
      </c>
      <c r="AD25">
        <v>160123</v>
      </c>
      <c r="AE25">
        <v>182946</v>
      </c>
      <c r="AF25">
        <v>191389</v>
      </c>
      <c r="AG25">
        <v>203801</v>
      </c>
      <c r="AH25">
        <v>230207</v>
      </c>
      <c r="AI25">
        <v>269317</v>
      </c>
      <c r="AJ25">
        <v>245519</v>
      </c>
      <c r="AK25">
        <v>271441</v>
      </c>
      <c r="AL25">
        <v>302449</v>
      </c>
      <c r="AM25">
        <v>346406</v>
      </c>
      <c r="AN25">
        <v>407281</v>
      </c>
      <c r="AO25">
        <v>479655</v>
      </c>
      <c r="AP25">
        <v>529353</v>
      </c>
      <c r="AQ25">
        <v>574123</v>
      </c>
      <c r="AR25">
        <v>569115</v>
      </c>
      <c r="AS25">
        <v>626517</v>
      </c>
      <c r="AT25">
        <v>694120</v>
      </c>
      <c r="AU25">
        <v>739342</v>
      </c>
      <c r="AV25">
        <v>741486</v>
      </c>
      <c r="AW25">
        <v>805346</v>
      </c>
      <c r="AX25">
        <v>895916</v>
      </c>
      <c r="AY25">
        <v>937992</v>
      </c>
      <c r="AZ25">
        <v>967178</v>
      </c>
      <c r="BA25">
        <v>961380</v>
      </c>
      <c r="BB25">
        <v>988942</v>
      </c>
      <c r="BC25">
        <v>1035046</v>
      </c>
      <c r="BD25">
        <v>1106979</v>
      </c>
      <c r="BE25">
        <v>1184941</v>
      </c>
      <c r="BF25">
        <v>1273063</v>
      </c>
      <c r="BG25">
        <v>1361106</v>
      </c>
      <c r="BH25">
        <v>1448432</v>
      </c>
      <c r="BI25">
        <v>1657593</v>
      </c>
      <c r="BJ25">
        <v>1939233</v>
      </c>
      <c r="BK25">
        <v>1817916</v>
      </c>
      <c r="BL25">
        <v>1719534</v>
      </c>
      <c r="BM25">
        <v>1701793</v>
      </c>
      <c r="BN25">
        <v>1830643</v>
      </c>
      <c r="BO25">
        <v>2108248</v>
      </c>
      <c r="BP25">
        <v>2099243</v>
      </c>
      <c r="BQ25">
        <v>2262207</v>
      </c>
      <c r="BR25">
        <v>2093967</v>
      </c>
      <c r="BS25">
        <v>2064452</v>
      </c>
      <c r="BT25">
        <v>2202562</v>
      </c>
      <c r="BU25">
        <v>2289401</v>
      </c>
      <c r="BV25">
        <v>2344826</v>
      </c>
      <c r="BW25">
        <v>2616645</v>
      </c>
      <c r="BX25">
        <v>2720773</v>
      </c>
      <c r="BY25">
        <v>2754199</v>
      </c>
      <c r="BZ25">
        <v>2953031</v>
      </c>
      <c r="CA25">
        <v>3116388</v>
      </c>
      <c r="CB25">
        <v>3512687</v>
      </c>
      <c r="CC25">
        <v>4053223</v>
      </c>
      <c r="CD25">
        <v>3917014</v>
      </c>
      <c r="CE25">
        <v>4505158</v>
      </c>
    </row>
    <row r="26" spans="1:83" x14ac:dyDescent="0.15">
      <c r="A26" t="s">
        <v>156</v>
      </c>
      <c r="B26" t="s">
        <v>86</v>
      </c>
      <c r="C26">
        <v>1000000</v>
      </c>
      <c r="D26" t="s">
        <v>87</v>
      </c>
      <c r="E26" t="s">
        <v>157</v>
      </c>
      <c r="F26" s="4" t="s">
        <v>158</v>
      </c>
      <c r="G26">
        <v>6990</v>
      </c>
      <c r="H26">
        <v>6971</v>
      </c>
      <c r="I26">
        <v>8088</v>
      </c>
      <c r="J26">
        <v>9321</v>
      </c>
      <c r="K26">
        <v>10367</v>
      </c>
      <c r="L26">
        <v>11419</v>
      </c>
      <c r="M26">
        <v>12567</v>
      </c>
      <c r="N26">
        <v>14261</v>
      </c>
      <c r="O26">
        <v>15735</v>
      </c>
      <c r="P26">
        <v>17036</v>
      </c>
      <c r="Q26">
        <v>18720</v>
      </c>
      <c r="R26">
        <v>21740</v>
      </c>
      <c r="S26">
        <v>24524</v>
      </c>
      <c r="T26">
        <v>26443</v>
      </c>
      <c r="U26">
        <v>28752</v>
      </c>
      <c r="V26">
        <v>30670</v>
      </c>
      <c r="W26">
        <v>33387</v>
      </c>
      <c r="X26">
        <v>35793</v>
      </c>
      <c r="Y26">
        <v>39081</v>
      </c>
      <c r="Z26">
        <v>42632</v>
      </c>
      <c r="AA26">
        <v>53344</v>
      </c>
      <c r="AB26">
        <v>56731</v>
      </c>
      <c r="AC26">
        <v>63037</v>
      </c>
      <c r="AD26">
        <v>70780</v>
      </c>
      <c r="AE26">
        <v>79799</v>
      </c>
      <c r="AF26">
        <v>90606</v>
      </c>
      <c r="AG26">
        <v>99578</v>
      </c>
      <c r="AH26">
        <v>120465</v>
      </c>
      <c r="AI26">
        <v>120302</v>
      </c>
      <c r="AJ26">
        <v>128224</v>
      </c>
      <c r="AK26">
        <v>141045</v>
      </c>
      <c r="AL26">
        <v>211984</v>
      </c>
      <c r="AM26">
        <v>235712</v>
      </c>
      <c r="AN26">
        <v>272921</v>
      </c>
      <c r="AO26">
        <v>323562</v>
      </c>
      <c r="AP26">
        <v>376110</v>
      </c>
      <c r="AQ26">
        <v>398245</v>
      </c>
      <c r="AR26">
        <v>242640</v>
      </c>
      <c r="AS26">
        <v>289719</v>
      </c>
      <c r="AT26">
        <v>288062</v>
      </c>
      <c r="AU26">
        <v>391367</v>
      </c>
      <c r="AV26">
        <v>517615</v>
      </c>
      <c r="AW26">
        <v>565167</v>
      </c>
      <c r="AX26">
        <v>646438</v>
      </c>
      <c r="AY26">
        <v>741789</v>
      </c>
      <c r="AZ26">
        <v>657935</v>
      </c>
      <c r="BA26">
        <v>742902</v>
      </c>
      <c r="BB26">
        <v>703724</v>
      </c>
      <c r="BC26">
        <v>890698</v>
      </c>
      <c r="BD26">
        <v>971611</v>
      </c>
      <c r="BE26">
        <v>1199403</v>
      </c>
      <c r="BF26">
        <v>1408107</v>
      </c>
      <c r="BG26">
        <v>1642023</v>
      </c>
      <c r="BH26">
        <v>1984406</v>
      </c>
      <c r="BI26">
        <v>2513813</v>
      </c>
      <c r="BJ26">
        <v>2381520</v>
      </c>
      <c r="BK26">
        <v>2042610</v>
      </c>
      <c r="BL26">
        <v>1755079</v>
      </c>
      <c r="BM26">
        <v>2331481</v>
      </c>
      <c r="BN26">
        <v>2845584</v>
      </c>
      <c r="BO26">
        <v>3064230</v>
      </c>
      <c r="BP26">
        <v>3747913</v>
      </c>
      <c r="BQ26">
        <v>4339610</v>
      </c>
      <c r="BR26">
        <v>2520213</v>
      </c>
      <c r="BS26">
        <v>3465918</v>
      </c>
      <c r="BT26">
        <v>3855226</v>
      </c>
      <c r="BU26">
        <v>3712763</v>
      </c>
      <c r="BV26">
        <v>4322676</v>
      </c>
      <c r="BW26">
        <v>5279870</v>
      </c>
      <c r="BX26">
        <v>5290394</v>
      </c>
      <c r="BY26">
        <v>5180795</v>
      </c>
      <c r="BZ26">
        <v>5446598</v>
      </c>
      <c r="CA26">
        <v>6719153</v>
      </c>
      <c r="CB26">
        <v>5411820</v>
      </c>
      <c r="CC26">
        <v>6365237</v>
      </c>
      <c r="CD26">
        <v>6885377</v>
      </c>
      <c r="CE26">
        <v>8145030</v>
      </c>
    </row>
    <row r="27" spans="1:83" x14ac:dyDescent="0.15">
      <c r="A27" t="s">
        <v>159</v>
      </c>
      <c r="B27" t="s">
        <v>86</v>
      </c>
      <c r="C27">
        <v>1000000</v>
      </c>
      <c r="D27" t="s">
        <v>87</v>
      </c>
      <c r="E27" t="s">
        <v>160</v>
      </c>
      <c r="F27" s="4" t="s">
        <v>161</v>
      </c>
      <c r="G27">
        <v>507</v>
      </c>
      <c r="H27">
        <v>689</v>
      </c>
      <c r="I27">
        <v>957</v>
      </c>
      <c r="J27">
        <v>1254</v>
      </c>
      <c r="K27">
        <v>1500</v>
      </c>
      <c r="L27">
        <v>1592</v>
      </c>
      <c r="M27">
        <v>1870</v>
      </c>
      <c r="N27">
        <v>2018</v>
      </c>
      <c r="O27">
        <v>2424</v>
      </c>
      <c r="P27">
        <v>2530</v>
      </c>
      <c r="Q27">
        <v>2872</v>
      </c>
      <c r="R27">
        <v>3302</v>
      </c>
      <c r="S27">
        <v>3846</v>
      </c>
      <c r="T27">
        <v>4354</v>
      </c>
      <c r="U27">
        <v>5173</v>
      </c>
      <c r="V27">
        <v>6420</v>
      </c>
      <c r="W27">
        <v>6995</v>
      </c>
      <c r="X27">
        <v>7972</v>
      </c>
      <c r="Y27">
        <v>-3341</v>
      </c>
      <c r="Z27">
        <v>-3437</v>
      </c>
      <c r="AA27">
        <v>-3858</v>
      </c>
      <c r="AB27">
        <v>-5404</v>
      </c>
      <c r="AC27">
        <v>-6617</v>
      </c>
      <c r="AD27">
        <v>-10832</v>
      </c>
      <c r="AE27">
        <v>-13671</v>
      </c>
      <c r="AF27">
        <v>-16617</v>
      </c>
      <c r="AG27">
        <v>-12257</v>
      </c>
      <c r="AH27">
        <v>-4379</v>
      </c>
      <c r="AI27">
        <v>13291</v>
      </c>
      <c r="AJ27">
        <v>60853</v>
      </c>
      <c r="AK27">
        <v>151272</v>
      </c>
      <c r="AL27">
        <v>110792</v>
      </c>
      <c r="AM27">
        <v>128086</v>
      </c>
      <c r="AN27">
        <v>149023</v>
      </c>
      <c r="AO27">
        <v>177860</v>
      </c>
      <c r="AP27">
        <v>188272</v>
      </c>
      <c r="AQ27">
        <v>300454</v>
      </c>
      <c r="AR27">
        <v>528641</v>
      </c>
      <c r="AS27">
        <v>517818</v>
      </c>
      <c r="AT27">
        <v>667292</v>
      </c>
      <c r="AU27">
        <v>705583</v>
      </c>
      <c r="AV27">
        <v>672430</v>
      </c>
      <c r="AW27">
        <v>778908</v>
      </c>
      <c r="AX27">
        <v>1003634</v>
      </c>
      <c r="AY27">
        <v>1006012</v>
      </c>
      <c r="AZ27">
        <v>1201725</v>
      </c>
      <c r="BA27">
        <v>1119103</v>
      </c>
      <c r="BB27">
        <v>1269137</v>
      </c>
      <c r="BC27">
        <v>1263077</v>
      </c>
      <c r="BD27">
        <v>1380416</v>
      </c>
      <c r="BE27">
        <v>1395003</v>
      </c>
      <c r="BF27">
        <v>1401754</v>
      </c>
      <c r="BG27">
        <v>1087486</v>
      </c>
      <c r="BH27">
        <v>1212973</v>
      </c>
      <c r="BI27">
        <v>860902</v>
      </c>
      <c r="BJ27">
        <v>2648786</v>
      </c>
      <c r="BK27">
        <v>3638211</v>
      </c>
      <c r="BL27">
        <v>4366548</v>
      </c>
      <c r="BM27">
        <v>3742537</v>
      </c>
      <c r="BN27">
        <v>3708084</v>
      </c>
      <c r="BO27">
        <v>4102023</v>
      </c>
      <c r="BP27">
        <v>4281729</v>
      </c>
      <c r="BQ27">
        <v>4568224</v>
      </c>
      <c r="BR27">
        <v>6071182</v>
      </c>
      <c r="BS27">
        <v>5272672</v>
      </c>
      <c r="BT27">
        <v>3363924</v>
      </c>
      <c r="BU27">
        <v>3786135</v>
      </c>
      <c r="BV27">
        <v>3439419</v>
      </c>
      <c r="BW27">
        <v>2728719</v>
      </c>
      <c r="BX27">
        <v>3129414</v>
      </c>
      <c r="BY27">
        <v>4274332</v>
      </c>
      <c r="BZ27">
        <v>4631286</v>
      </c>
      <c r="CA27">
        <v>3710448</v>
      </c>
      <c r="CB27">
        <v>5840500</v>
      </c>
      <c r="CC27">
        <v>6776393</v>
      </c>
      <c r="CD27">
        <v>6241659</v>
      </c>
      <c r="CE27">
        <v>5569587</v>
      </c>
    </row>
    <row r="28" spans="1:83" x14ac:dyDescent="0.15">
      <c r="A28" t="s">
        <v>162</v>
      </c>
      <c r="B28" t="s">
        <v>86</v>
      </c>
      <c r="C28">
        <v>1000000</v>
      </c>
      <c r="D28" t="s">
        <v>87</v>
      </c>
      <c r="E28" t="s">
        <v>163</v>
      </c>
      <c r="F28" s="4" t="s">
        <v>164</v>
      </c>
      <c r="G28">
        <v>70188</v>
      </c>
      <c r="H28">
        <v>80160</v>
      </c>
      <c r="I28">
        <v>92995</v>
      </c>
      <c r="J28">
        <v>101836</v>
      </c>
      <c r="K28">
        <v>101086</v>
      </c>
      <c r="L28">
        <v>123646</v>
      </c>
      <c r="M28">
        <v>136442</v>
      </c>
      <c r="N28">
        <v>141231</v>
      </c>
      <c r="O28">
        <v>146098</v>
      </c>
      <c r="P28">
        <v>149274</v>
      </c>
      <c r="Q28">
        <v>171274</v>
      </c>
      <c r="R28">
        <v>183501</v>
      </c>
      <c r="S28">
        <v>192867</v>
      </c>
      <c r="T28">
        <v>202401</v>
      </c>
      <c r="U28">
        <v>219159</v>
      </c>
      <c r="V28">
        <v>229575</v>
      </c>
      <c r="W28">
        <v>242111</v>
      </c>
      <c r="X28">
        <v>257379</v>
      </c>
      <c r="Y28">
        <v>277857</v>
      </c>
      <c r="Z28">
        <v>300021</v>
      </c>
      <c r="AA28">
        <v>335211</v>
      </c>
      <c r="AB28">
        <v>369173</v>
      </c>
      <c r="AC28">
        <v>397015</v>
      </c>
      <c r="AD28">
        <v>445991</v>
      </c>
      <c r="AE28">
        <v>500409</v>
      </c>
      <c r="AF28">
        <v>539623</v>
      </c>
      <c r="AG28">
        <v>585310</v>
      </c>
      <c r="AH28">
        <v>649539</v>
      </c>
      <c r="AI28">
        <v>760753</v>
      </c>
      <c r="AJ28">
        <v>764624</v>
      </c>
      <c r="AK28">
        <v>1086949</v>
      </c>
      <c r="AL28">
        <v>1189321</v>
      </c>
      <c r="AM28">
        <v>1335343</v>
      </c>
      <c r="AN28">
        <v>1532276</v>
      </c>
      <c r="AO28">
        <v>1789349</v>
      </c>
      <c r="AP28">
        <v>2011204</v>
      </c>
      <c r="AQ28">
        <v>2293519</v>
      </c>
      <c r="AR28">
        <v>2453726</v>
      </c>
      <c r="AS28">
        <v>2609588</v>
      </c>
      <c r="AT28">
        <v>2928516</v>
      </c>
      <c r="AU28">
        <v>3308203</v>
      </c>
      <c r="AV28">
        <v>3498215</v>
      </c>
      <c r="AW28">
        <v>3773980</v>
      </c>
      <c r="AX28">
        <v>4191650</v>
      </c>
      <c r="AY28">
        <v>4532736</v>
      </c>
      <c r="AZ28">
        <v>4729421</v>
      </c>
      <c r="BA28">
        <v>4829771</v>
      </c>
      <c r="BB28">
        <v>5109733</v>
      </c>
      <c r="BC28">
        <v>5388621</v>
      </c>
      <c r="BD28">
        <v>5627385</v>
      </c>
      <c r="BE28">
        <v>6009523</v>
      </c>
      <c r="BF28">
        <v>6378563</v>
      </c>
      <c r="BG28">
        <v>6628782</v>
      </c>
      <c r="BH28">
        <v>7457590</v>
      </c>
      <c r="BI28">
        <v>8407257</v>
      </c>
      <c r="BJ28">
        <v>9611350</v>
      </c>
      <c r="BK28">
        <v>9809484</v>
      </c>
      <c r="BL28">
        <v>9922842</v>
      </c>
      <c r="BM28">
        <v>9867355</v>
      </c>
      <c r="BN28">
        <v>10349326</v>
      </c>
      <c r="BO28">
        <v>11145325</v>
      </c>
      <c r="BP28">
        <v>11781890</v>
      </c>
      <c r="BQ28">
        <v>12872594</v>
      </c>
      <c r="BR28">
        <v>13173320</v>
      </c>
      <c r="BS28">
        <v>12843912</v>
      </c>
      <c r="BT28">
        <v>13162363</v>
      </c>
      <c r="BU28">
        <v>13807920</v>
      </c>
      <c r="BV28">
        <v>14621803</v>
      </c>
      <c r="BW28">
        <v>15316397</v>
      </c>
      <c r="BX28">
        <v>16481493</v>
      </c>
      <c r="BY28">
        <v>17794460</v>
      </c>
      <c r="BZ28">
        <v>18814038</v>
      </c>
      <c r="CA28">
        <v>19142918</v>
      </c>
      <c r="CB28">
        <v>20371879</v>
      </c>
      <c r="CC28">
        <v>22974332</v>
      </c>
      <c r="CD28">
        <v>23013712</v>
      </c>
      <c r="CE28">
        <v>24083930</v>
      </c>
    </row>
    <row r="29" spans="1:83" x14ac:dyDescent="0.15">
      <c r="A29" t="s">
        <v>165</v>
      </c>
      <c r="B29" t="s">
        <v>86</v>
      </c>
      <c r="C29">
        <v>1000000</v>
      </c>
      <c r="D29" t="s">
        <v>87</v>
      </c>
      <c r="E29" t="s">
        <v>166</v>
      </c>
      <c r="F29" s="4" t="s">
        <v>167</v>
      </c>
      <c r="G29">
        <v>24000</v>
      </c>
      <c r="H29">
        <v>24995</v>
      </c>
      <c r="I29">
        <v>27843</v>
      </c>
      <c r="J29">
        <v>32137</v>
      </c>
      <c r="K29">
        <v>35036</v>
      </c>
      <c r="L29">
        <v>36705</v>
      </c>
      <c r="M29">
        <v>40061</v>
      </c>
      <c r="N29">
        <v>44828</v>
      </c>
      <c r="O29">
        <v>48414</v>
      </c>
      <c r="P29">
        <v>52078</v>
      </c>
      <c r="Q29">
        <v>54926</v>
      </c>
      <c r="R29">
        <v>58418</v>
      </c>
      <c r="S29">
        <v>64494</v>
      </c>
      <c r="T29">
        <v>70373</v>
      </c>
      <c r="U29">
        <v>73109</v>
      </c>
      <c r="V29">
        <v>76985</v>
      </c>
      <c r="W29">
        <v>81705</v>
      </c>
      <c r="X29">
        <v>85841</v>
      </c>
      <c r="Y29">
        <v>89382</v>
      </c>
      <c r="Z29">
        <v>93533</v>
      </c>
      <c r="AA29">
        <v>98057</v>
      </c>
      <c r="AB29">
        <v>109096</v>
      </c>
      <c r="AC29">
        <v>125166</v>
      </c>
      <c r="AD29">
        <v>139274</v>
      </c>
      <c r="AE29">
        <v>152356</v>
      </c>
      <c r="AF29">
        <v>173889</v>
      </c>
      <c r="AG29">
        <v>191896</v>
      </c>
      <c r="AH29">
        <v>205352</v>
      </c>
      <c r="AI29">
        <v>217721</v>
      </c>
      <c r="AJ29">
        <v>243170</v>
      </c>
      <c r="AK29">
        <v>270077</v>
      </c>
      <c r="AL29">
        <v>296826</v>
      </c>
      <c r="AM29">
        <v>329676</v>
      </c>
      <c r="AN29">
        <v>361147</v>
      </c>
      <c r="AO29">
        <v>397461</v>
      </c>
      <c r="AP29">
        <v>439488</v>
      </c>
      <c r="AQ29">
        <v>492376</v>
      </c>
      <c r="AR29">
        <v>533077</v>
      </c>
      <c r="AS29">
        <v>567652</v>
      </c>
      <c r="AT29">
        <v>657987</v>
      </c>
      <c r="AU29">
        <v>777480</v>
      </c>
      <c r="AV29">
        <v>885353</v>
      </c>
      <c r="AW29">
        <v>974107</v>
      </c>
      <c r="AX29">
        <v>1089317</v>
      </c>
      <c r="AY29">
        <v>1183681</v>
      </c>
      <c r="AZ29">
        <v>1240172</v>
      </c>
      <c r="BA29">
        <v>1299396</v>
      </c>
      <c r="BB29">
        <v>1379895</v>
      </c>
      <c r="BC29">
        <v>1580574</v>
      </c>
      <c r="BD29">
        <v>1699387</v>
      </c>
      <c r="BE29">
        <v>1785204</v>
      </c>
      <c r="BF29">
        <v>1875817</v>
      </c>
      <c r="BG29">
        <v>2020819</v>
      </c>
      <c r="BH29">
        <v>2266042</v>
      </c>
      <c r="BI29">
        <v>2511245</v>
      </c>
      <c r="BJ29">
        <v>2700132</v>
      </c>
      <c r="BK29">
        <v>2899185</v>
      </c>
      <c r="BL29">
        <v>2910256</v>
      </c>
      <c r="BM29">
        <v>2963643</v>
      </c>
      <c r="BN29">
        <v>2996495</v>
      </c>
      <c r="BO29">
        <v>2994739</v>
      </c>
      <c r="BP29">
        <v>3147869</v>
      </c>
      <c r="BQ29">
        <v>3353493</v>
      </c>
      <c r="BR29">
        <v>3551832</v>
      </c>
      <c r="BS29">
        <v>3726383</v>
      </c>
      <c r="BT29">
        <v>3971995</v>
      </c>
      <c r="BU29">
        <v>4174222</v>
      </c>
      <c r="BV29">
        <v>4552791</v>
      </c>
      <c r="BW29">
        <v>4824385</v>
      </c>
      <c r="BX29">
        <v>5145202</v>
      </c>
      <c r="BY29">
        <v>5556778</v>
      </c>
      <c r="BZ29">
        <v>5851951</v>
      </c>
      <c r="CA29">
        <v>6180484</v>
      </c>
      <c r="CB29">
        <v>6332951</v>
      </c>
      <c r="CC29">
        <v>6602630</v>
      </c>
      <c r="CD29">
        <v>7231969</v>
      </c>
      <c r="CE29">
        <v>7427779</v>
      </c>
    </row>
    <row r="30" spans="1:83" x14ac:dyDescent="0.15">
      <c r="A30" t="s">
        <v>168</v>
      </c>
      <c r="B30" t="s">
        <v>86</v>
      </c>
      <c r="C30">
        <v>1000000</v>
      </c>
      <c r="D30" t="s">
        <v>87</v>
      </c>
      <c r="E30" t="s">
        <v>169</v>
      </c>
      <c r="F30" s="4" t="s">
        <v>170</v>
      </c>
      <c r="G30">
        <v>95</v>
      </c>
      <c r="H30">
        <v>137</v>
      </c>
      <c r="I30">
        <v>172</v>
      </c>
      <c r="J30">
        <v>166</v>
      </c>
      <c r="K30">
        <v>162</v>
      </c>
      <c r="L30">
        <v>207</v>
      </c>
      <c r="M30">
        <v>269</v>
      </c>
      <c r="N30">
        <v>331</v>
      </c>
      <c r="O30">
        <v>402</v>
      </c>
      <c r="P30">
        <v>531</v>
      </c>
      <c r="Q30">
        <v>362</v>
      </c>
      <c r="R30">
        <v>378</v>
      </c>
      <c r="S30">
        <v>422</v>
      </c>
      <c r="T30">
        <v>658</v>
      </c>
      <c r="U30">
        <v>315</v>
      </c>
      <c r="V30">
        <v>769</v>
      </c>
      <c r="W30">
        <v>1094</v>
      </c>
      <c r="X30">
        <v>1198</v>
      </c>
      <c r="Y30">
        <v>968</v>
      </c>
      <c r="Z30">
        <v>1125</v>
      </c>
      <c r="AA30">
        <v>797</v>
      </c>
      <c r="AB30">
        <v>1622</v>
      </c>
      <c r="AC30">
        <v>3034</v>
      </c>
      <c r="AD30">
        <v>4249</v>
      </c>
      <c r="AE30">
        <v>5356</v>
      </c>
      <c r="AF30">
        <v>7133</v>
      </c>
      <c r="AG30">
        <v>6247</v>
      </c>
      <c r="AH30">
        <v>6968</v>
      </c>
      <c r="AI30">
        <v>8382</v>
      </c>
      <c r="AJ30">
        <v>12513</v>
      </c>
      <c r="AK30">
        <v>9616</v>
      </c>
      <c r="AL30">
        <v>11049</v>
      </c>
      <c r="AM30">
        <v>12808</v>
      </c>
      <c r="AN30">
        <v>15499</v>
      </c>
      <c r="AO30">
        <v>24518</v>
      </c>
      <c r="AP30">
        <v>28026</v>
      </c>
      <c r="AQ30">
        <v>42722</v>
      </c>
      <c r="AR30">
        <v>37614</v>
      </c>
      <c r="AS30">
        <v>36775</v>
      </c>
      <c r="AT30">
        <v>58490</v>
      </c>
      <c r="AU30">
        <v>72207</v>
      </c>
      <c r="AV30">
        <v>62865</v>
      </c>
      <c r="AW30">
        <v>73768</v>
      </c>
      <c r="AX30">
        <v>85676</v>
      </c>
      <c r="AY30">
        <v>107112</v>
      </c>
      <c r="AZ30">
        <v>116852</v>
      </c>
      <c r="BA30">
        <v>98477</v>
      </c>
      <c r="BB30">
        <v>107106</v>
      </c>
      <c r="BC30">
        <v>117829</v>
      </c>
      <c r="BD30">
        <v>139238</v>
      </c>
      <c r="BE30">
        <v>157351</v>
      </c>
      <c r="BF30">
        <v>156405</v>
      </c>
      <c r="BG30">
        <v>168598</v>
      </c>
      <c r="BH30">
        <v>192958</v>
      </c>
      <c r="BI30">
        <v>230326</v>
      </c>
      <c r="BJ30">
        <v>278402</v>
      </c>
      <c r="BK30">
        <v>177726</v>
      </c>
      <c r="BL30">
        <v>119813</v>
      </c>
      <c r="BM30">
        <v>82481</v>
      </c>
      <c r="BN30">
        <v>97782</v>
      </c>
      <c r="BO30">
        <v>90071</v>
      </c>
      <c r="BP30">
        <v>112517</v>
      </c>
      <c r="BQ30">
        <v>123814</v>
      </c>
      <c r="BR30">
        <v>131477</v>
      </c>
      <c r="BS30">
        <v>58410</v>
      </c>
      <c r="BT30">
        <v>82928</v>
      </c>
      <c r="BU30">
        <v>116307</v>
      </c>
      <c r="BV30">
        <v>130329</v>
      </c>
      <c r="BW30">
        <v>144511</v>
      </c>
      <c r="BX30">
        <v>182012</v>
      </c>
      <c r="BY30">
        <v>179017</v>
      </c>
      <c r="BZ30">
        <v>180783</v>
      </c>
      <c r="CA30">
        <v>206670</v>
      </c>
      <c r="CB30">
        <v>196467</v>
      </c>
      <c r="CC30">
        <v>194530</v>
      </c>
      <c r="CD30">
        <v>132202</v>
      </c>
      <c r="CE30">
        <v>138243</v>
      </c>
    </row>
    <row r="31" spans="1:83" x14ac:dyDescent="0.15">
      <c r="A31" t="s">
        <v>171</v>
      </c>
      <c r="B31" t="s">
        <v>86</v>
      </c>
      <c r="C31">
        <v>1000000</v>
      </c>
      <c r="D31" t="s">
        <v>87</v>
      </c>
      <c r="E31" t="s">
        <v>172</v>
      </c>
      <c r="F31" s="4" t="s">
        <v>173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86</v>
      </c>
      <c r="AH31">
        <v>634</v>
      </c>
      <c r="AI31">
        <v>2430</v>
      </c>
      <c r="AJ31">
        <v>4078</v>
      </c>
      <c r="AK31">
        <v>6678</v>
      </c>
      <c r="AL31">
        <v>9163</v>
      </c>
      <c r="AM31">
        <v>17377</v>
      </c>
      <c r="AN31">
        <v>25041</v>
      </c>
      <c r="AO31">
        <v>35028</v>
      </c>
      <c r="AP31">
        <v>45892</v>
      </c>
      <c r="AQ31">
        <v>59323</v>
      </c>
      <c r="AR31">
        <v>74466</v>
      </c>
      <c r="AS31">
        <v>83897</v>
      </c>
      <c r="AT31">
        <v>104439</v>
      </c>
      <c r="AU31">
        <v>127039</v>
      </c>
      <c r="AV31">
        <v>117138</v>
      </c>
      <c r="AW31">
        <v>116224</v>
      </c>
      <c r="AX31">
        <v>116409</v>
      </c>
      <c r="AY31">
        <v>115490</v>
      </c>
      <c r="AZ31">
        <v>115153</v>
      </c>
      <c r="BA31">
        <v>113984</v>
      </c>
      <c r="BB31">
        <v>118285</v>
      </c>
      <c r="BC31">
        <v>124864</v>
      </c>
      <c r="BD31">
        <v>131689</v>
      </c>
      <c r="BE31">
        <v>134758</v>
      </c>
      <c r="BF31">
        <v>137851</v>
      </c>
      <c r="BG31">
        <v>142002</v>
      </c>
      <c r="BH31">
        <v>147763</v>
      </c>
      <c r="BI31">
        <v>152826</v>
      </c>
      <c r="BJ31">
        <v>154187</v>
      </c>
      <c r="BK31">
        <v>157687</v>
      </c>
      <c r="BL31">
        <v>160622</v>
      </c>
      <c r="BM31">
        <v>163914</v>
      </c>
      <c r="BN31">
        <v>201905</v>
      </c>
      <c r="BO31">
        <v>245166</v>
      </c>
      <c r="BP31">
        <v>299068</v>
      </c>
      <c r="BQ31">
        <v>370066</v>
      </c>
      <c r="BR31">
        <v>434885</v>
      </c>
      <c r="BS31">
        <v>472413</v>
      </c>
      <c r="BT31">
        <v>505117</v>
      </c>
      <c r="BU31">
        <v>513879</v>
      </c>
      <c r="BV31">
        <v>527352</v>
      </c>
      <c r="BW31">
        <v>529194</v>
      </c>
      <c r="BX31">
        <v>528859</v>
      </c>
      <c r="BY31">
        <v>542646</v>
      </c>
      <c r="BZ31">
        <v>564109</v>
      </c>
      <c r="CA31">
        <v>581578</v>
      </c>
      <c r="CB31">
        <v>579367</v>
      </c>
      <c r="CC31">
        <v>595535</v>
      </c>
      <c r="CD31">
        <v>600777</v>
      </c>
      <c r="CE31">
        <v>611726</v>
      </c>
    </row>
    <row r="32" spans="1:83" x14ac:dyDescent="0.15">
      <c r="A32" t="s">
        <v>174</v>
      </c>
      <c r="B32" t="s">
        <v>86</v>
      </c>
      <c r="C32">
        <v>1000000</v>
      </c>
      <c r="D32" t="s">
        <v>87</v>
      </c>
      <c r="E32" t="s">
        <v>175</v>
      </c>
      <c r="F32" s="4" t="s">
        <v>176</v>
      </c>
      <c r="G32">
        <v>23905</v>
      </c>
      <c r="H32">
        <v>24858</v>
      </c>
      <c r="I32">
        <v>27671</v>
      </c>
      <c r="J32">
        <v>31971</v>
      </c>
      <c r="K32">
        <v>34874</v>
      </c>
      <c r="L32">
        <v>36498</v>
      </c>
      <c r="M32">
        <v>39792</v>
      </c>
      <c r="N32">
        <v>44497</v>
      </c>
      <c r="O32">
        <v>48012</v>
      </c>
      <c r="P32">
        <v>51547</v>
      </c>
      <c r="Q32">
        <v>54564</v>
      </c>
      <c r="R32">
        <v>58040</v>
      </c>
      <c r="S32">
        <v>64072</v>
      </c>
      <c r="T32">
        <v>69715</v>
      </c>
      <c r="U32">
        <v>72794</v>
      </c>
      <c r="V32">
        <v>76216</v>
      </c>
      <c r="W32">
        <v>80611</v>
      </c>
      <c r="X32">
        <v>84643</v>
      </c>
      <c r="Y32">
        <v>88414</v>
      </c>
      <c r="Z32">
        <v>92408</v>
      </c>
      <c r="AA32">
        <v>97260</v>
      </c>
      <c r="AB32">
        <v>107474</v>
      </c>
      <c r="AC32">
        <v>122132</v>
      </c>
      <c r="AD32">
        <v>135025</v>
      </c>
      <c r="AE32">
        <v>147000</v>
      </c>
      <c r="AF32">
        <v>166756</v>
      </c>
      <c r="AG32">
        <v>185563</v>
      </c>
      <c r="AH32">
        <v>197750</v>
      </c>
      <c r="AI32">
        <v>206909</v>
      </c>
      <c r="AJ32">
        <v>226579</v>
      </c>
      <c r="AK32">
        <v>253783</v>
      </c>
      <c r="AL32">
        <v>276614</v>
      </c>
      <c r="AM32">
        <v>299491</v>
      </c>
      <c r="AN32">
        <v>320607</v>
      </c>
      <c r="AO32">
        <v>337915</v>
      </c>
      <c r="AP32">
        <v>365570</v>
      </c>
      <c r="AQ32">
        <v>390331</v>
      </c>
      <c r="AR32">
        <v>420997</v>
      </c>
      <c r="AS32">
        <v>446980</v>
      </c>
      <c r="AT32">
        <v>495058</v>
      </c>
      <c r="AU32">
        <v>578234</v>
      </c>
      <c r="AV32">
        <v>705350</v>
      </c>
      <c r="AW32">
        <v>784115</v>
      </c>
      <c r="AX32">
        <v>887232</v>
      </c>
      <c r="AY32">
        <v>961079</v>
      </c>
      <c r="AZ32">
        <v>1008167</v>
      </c>
      <c r="BA32">
        <v>1086935</v>
      </c>
      <c r="BB32">
        <v>1154504</v>
      </c>
      <c r="BC32">
        <v>1337881</v>
      </c>
      <c r="BD32">
        <v>1428460</v>
      </c>
      <c r="BE32">
        <v>1493095</v>
      </c>
      <c r="BF32">
        <v>1581561</v>
      </c>
      <c r="BG32">
        <v>1710219</v>
      </c>
      <c r="BH32">
        <v>1925321</v>
      </c>
      <c r="BI32">
        <v>2128093</v>
      </c>
      <c r="BJ32">
        <v>2267543</v>
      </c>
      <c r="BK32">
        <v>2563772</v>
      </c>
      <c r="BL32">
        <v>2629821</v>
      </c>
      <c r="BM32">
        <v>2717248</v>
      </c>
      <c r="BN32">
        <v>2696808</v>
      </c>
      <c r="BO32">
        <v>2659502</v>
      </c>
      <c r="BP32">
        <v>2736284</v>
      </c>
      <c r="BQ32">
        <v>2859613</v>
      </c>
      <c r="BR32">
        <v>2985470</v>
      </c>
      <c r="BS32">
        <v>3195560</v>
      </c>
      <c r="BT32">
        <v>3383950</v>
      </c>
      <c r="BU32">
        <v>3544036</v>
      </c>
      <c r="BV32">
        <v>3895110</v>
      </c>
      <c r="BW32">
        <v>4150680</v>
      </c>
      <c r="BX32">
        <v>4434331</v>
      </c>
      <c r="BY32">
        <v>4835115</v>
      </c>
      <c r="BZ32">
        <v>5107059</v>
      </c>
      <c r="CA32">
        <v>5392236</v>
      </c>
      <c r="CB32">
        <v>5557117</v>
      </c>
      <c r="CC32">
        <v>5812565</v>
      </c>
      <c r="CD32">
        <v>6498990</v>
      </c>
      <c r="CE32">
        <v>6677810</v>
      </c>
    </row>
    <row r="33" spans="1:83" x14ac:dyDescent="0.15">
      <c r="A33" t="s">
        <v>177</v>
      </c>
      <c r="B33" t="s">
        <v>86</v>
      </c>
      <c r="C33">
        <v>1000000</v>
      </c>
      <c r="D33" t="s">
        <v>87</v>
      </c>
      <c r="E33" t="s">
        <v>178</v>
      </c>
      <c r="F33" s="4" t="s">
        <v>179</v>
      </c>
      <c r="G33">
        <v>20653</v>
      </c>
      <c r="H33">
        <v>24894</v>
      </c>
      <c r="I33">
        <v>28937</v>
      </c>
      <c r="J33">
        <v>30674</v>
      </c>
      <c r="K33">
        <v>29358</v>
      </c>
      <c r="L33">
        <v>33734</v>
      </c>
      <c r="M33">
        <v>38807</v>
      </c>
      <c r="N33">
        <v>40270</v>
      </c>
      <c r="O33">
        <v>40838</v>
      </c>
      <c r="P33">
        <v>40765</v>
      </c>
      <c r="Q33">
        <v>46290</v>
      </c>
      <c r="R33">
        <v>52543</v>
      </c>
      <c r="S33">
        <v>56138</v>
      </c>
      <c r="T33">
        <v>57592</v>
      </c>
      <c r="U33">
        <v>63536</v>
      </c>
      <c r="V33">
        <v>68607</v>
      </c>
      <c r="W33">
        <v>71282</v>
      </c>
      <c r="X33">
        <v>77625</v>
      </c>
      <c r="Y33">
        <v>84802</v>
      </c>
      <c r="Z33">
        <v>94392</v>
      </c>
      <c r="AA33">
        <v>110136</v>
      </c>
      <c r="AB33">
        <v>123828</v>
      </c>
      <c r="AC33">
        <v>130079</v>
      </c>
      <c r="AD33">
        <v>146800</v>
      </c>
      <c r="AE33">
        <v>166523</v>
      </c>
      <c r="AF33">
        <v>189495</v>
      </c>
      <c r="AG33">
        <v>200340</v>
      </c>
      <c r="AH33">
        <v>226463</v>
      </c>
      <c r="AI33">
        <v>279716</v>
      </c>
      <c r="AJ33">
        <v>309896</v>
      </c>
      <c r="AK33">
        <v>302588</v>
      </c>
      <c r="AL33">
        <v>317520</v>
      </c>
      <c r="AM33">
        <v>360646</v>
      </c>
      <c r="AN33">
        <v>404909</v>
      </c>
      <c r="AO33">
        <v>454311</v>
      </c>
      <c r="AP33">
        <v>480124</v>
      </c>
      <c r="AQ33">
        <v>546304</v>
      </c>
      <c r="AR33">
        <v>596857</v>
      </c>
      <c r="AS33">
        <v>679591</v>
      </c>
      <c r="AT33">
        <v>799981</v>
      </c>
      <c r="AU33">
        <v>861463</v>
      </c>
      <c r="AV33">
        <v>979134</v>
      </c>
      <c r="AW33">
        <v>1077438</v>
      </c>
      <c r="AX33">
        <v>1175888</v>
      </c>
      <c r="AY33">
        <v>1271540</v>
      </c>
      <c r="AZ33">
        <v>1345217</v>
      </c>
      <c r="BA33">
        <v>1227244</v>
      </c>
      <c r="BB33">
        <v>1165105</v>
      </c>
      <c r="BC33">
        <v>1110098</v>
      </c>
      <c r="BD33">
        <v>1188659</v>
      </c>
      <c r="BE33">
        <v>1308811</v>
      </c>
      <c r="BF33">
        <v>1368399</v>
      </c>
      <c r="BG33">
        <v>1500906</v>
      </c>
      <c r="BH33">
        <v>1643212</v>
      </c>
      <c r="BI33">
        <v>1800604</v>
      </c>
      <c r="BJ33">
        <v>1957792</v>
      </c>
      <c r="BK33">
        <v>1894771</v>
      </c>
      <c r="BL33">
        <v>1879250</v>
      </c>
      <c r="BM33">
        <v>1846066</v>
      </c>
      <c r="BN33">
        <v>1992203</v>
      </c>
      <c r="BO33">
        <v>2260830</v>
      </c>
      <c r="BP33">
        <v>2512551</v>
      </c>
      <c r="BQ33">
        <v>2976719</v>
      </c>
      <c r="BR33">
        <v>3033286</v>
      </c>
      <c r="BS33">
        <v>2450166</v>
      </c>
      <c r="BT33">
        <v>2102203</v>
      </c>
      <c r="BU33">
        <v>2202820</v>
      </c>
      <c r="BV33">
        <v>2195170</v>
      </c>
      <c r="BW33">
        <v>2331870</v>
      </c>
      <c r="BX33">
        <v>2498156</v>
      </c>
      <c r="BY33">
        <v>2651083</v>
      </c>
      <c r="BZ33">
        <v>2626469</v>
      </c>
      <c r="CA33">
        <v>2797487</v>
      </c>
      <c r="CB33">
        <v>3336479</v>
      </c>
      <c r="CC33">
        <v>3705111</v>
      </c>
      <c r="CD33">
        <v>4114847</v>
      </c>
      <c r="CE33">
        <v>4491992</v>
      </c>
    </row>
    <row r="34" spans="1:83" x14ac:dyDescent="0.15">
      <c r="A34" t="s">
        <v>180</v>
      </c>
      <c r="B34" t="s">
        <v>86</v>
      </c>
      <c r="C34">
        <v>1000000</v>
      </c>
      <c r="D34" t="s">
        <v>87</v>
      </c>
      <c r="E34" t="s">
        <v>181</v>
      </c>
      <c r="F34" s="4" t="s">
        <v>182</v>
      </c>
      <c r="G34">
        <v>8912</v>
      </c>
      <c r="H34">
        <v>12505</v>
      </c>
      <c r="I34">
        <v>15574</v>
      </c>
      <c r="J34">
        <v>16181</v>
      </c>
      <c r="K34">
        <v>14287</v>
      </c>
      <c r="L34">
        <v>17974</v>
      </c>
      <c r="M34">
        <v>22183</v>
      </c>
      <c r="N34">
        <v>22979</v>
      </c>
      <c r="O34">
        <v>22417</v>
      </c>
      <c r="P34">
        <v>21761</v>
      </c>
      <c r="Q34">
        <v>25662</v>
      </c>
      <c r="R34">
        <v>30747</v>
      </c>
      <c r="S34">
        <v>31971</v>
      </c>
      <c r="T34">
        <v>31650</v>
      </c>
      <c r="U34">
        <v>35439</v>
      </c>
      <c r="V34">
        <v>37651</v>
      </c>
      <c r="W34">
        <v>38585</v>
      </c>
      <c r="X34">
        <v>42226</v>
      </c>
      <c r="Y34">
        <v>45623</v>
      </c>
      <c r="Z34">
        <v>50264</v>
      </c>
      <c r="AA34">
        <v>61141</v>
      </c>
      <c r="AB34">
        <v>69715</v>
      </c>
      <c r="AC34">
        <v>76269</v>
      </c>
      <c r="AD34">
        <v>86106</v>
      </c>
      <c r="AE34">
        <v>95655</v>
      </c>
      <c r="AF34">
        <v>101697</v>
      </c>
      <c r="AG34">
        <v>106157</v>
      </c>
      <c r="AH34">
        <v>119174</v>
      </c>
      <c r="AI34">
        <v>134126</v>
      </c>
      <c r="AJ34">
        <v>156066</v>
      </c>
      <c r="AK34">
        <v>141944</v>
      </c>
      <c r="AL34">
        <v>138761</v>
      </c>
      <c r="AM34">
        <v>153766</v>
      </c>
      <c r="AN34">
        <v>173563</v>
      </c>
      <c r="AO34">
        <v>204440</v>
      </c>
      <c r="AP34">
        <v>231595</v>
      </c>
      <c r="AQ34">
        <v>263884</v>
      </c>
      <c r="AR34">
        <v>323733</v>
      </c>
      <c r="AS34">
        <v>352715</v>
      </c>
      <c r="AT34">
        <v>411929</v>
      </c>
      <c r="AU34">
        <v>453929</v>
      </c>
      <c r="AV34">
        <v>519640</v>
      </c>
      <c r="AW34">
        <v>524047</v>
      </c>
      <c r="AX34">
        <v>565416</v>
      </c>
      <c r="AY34">
        <v>604541</v>
      </c>
      <c r="AZ34">
        <v>594058</v>
      </c>
      <c r="BA34">
        <v>542316</v>
      </c>
      <c r="BB34">
        <v>513956</v>
      </c>
      <c r="BC34">
        <v>506662</v>
      </c>
      <c r="BD34">
        <v>554175</v>
      </c>
      <c r="BE34">
        <v>631493</v>
      </c>
      <c r="BF34">
        <v>662307</v>
      </c>
      <c r="BG34">
        <v>716874</v>
      </c>
      <c r="BH34">
        <v>797481</v>
      </c>
      <c r="BI34">
        <v>846082</v>
      </c>
      <c r="BJ34">
        <v>901298</v>
      </c>
      <c r="BK34">
        <v>796819</v>
      </c>
      <c r="BL34">
        <v>693430</v>
      </c>
      <c r="BM34">
        <v>614049</v>
      </c>
      <c r="BN34">
        <v>618002</v>
      </c>
      <c r="BO34">
        <v>590882</v>
      </c>
      <c r="BP34">
        <v>612332</v>
      </c>
      <c r="BQ34">
        <v>714425</v>
      </c>
      <c r="BR34">
        <v>777496</v>
      </c>
      <c r="BS34">
        <v>549098</v>
      </c>
      <c r="BT34">
        <v>482473</v>
      </c>
      <c r="BU34">
        <v>620604</v>
      </c>
      <c r="BV34">
        <v>704549</v>
      </c>
      <c r="BW34">
        <v>757917</v>
      </c>
      <c r="BX34">
        <v>858908</v>
      </c>
      <c r="BY34">
        <v>951139</v>
      </c>
      <c r="BZ34">
        <v>947115</v>
      </c>
      <c r="CA34">
        <v>896445</v>
      </c>
      <c r="CB34">
        <v>1000226</v>
      </c>
      <c r="CC34">
        <v>1029788</v>
      </c>
      <c r="CD34">
        <v>1182752</v>
      </c>
      <c r="CE34">
        <v>1144307</v>
      </c>
    </row>
    <row r="35" spans="1:83" x14ac:dyDescent="0.15">
      <c r="A35" t="s">
        <v>183</v>
      </c>
      <c r="B35" t="s">
        <v>86</v>
      </c>
      <c r="C35">
        <v>1000000</v>
      </c>
      <c r="D35" t="s">
        <v>87</v>
      </c>
      <c r="E35" t="s">
        <v>184</v>
      </c>
      <c r="F35" s="4" t="s">
        <v>185</v>
      </c>
      <c r="G35">
        <v>3199</v>
      </c>
      <c r="H35">
        <v>3054</v>
      </c>
      <c r="I35">
        <v>2869</v>
      </c>
      <c r="J35">
        <v>2958</v>
      </c>
      <c r="K35">
        <v>2891</v>
      </c>
      <c r="L35">
        <v>3126</v>
      </c>
      <c r="M35">
        <v>3395</v>
      </c>
      <c r="N35">
        <v>3827</v>
      </c>
      <c r="O35">
        <v>4279</v>
      </c>
      <c r="P35">
        <v>4368</v>
      </c>
      <c r="Q35">
        <v>4433</v>
      </c>
      <c r="R35">
        <v>4670</v>
      </c>
      <c r="S35">
        <v>5730</v>
      </c>
      <c r="T35">
        <v>5758</v>
      </c>
      <c r="U35">
        <v>7088</v>
      </c>
      <c r="V35">
        <v>9131</v>
      </c>
      <c r="W35">
        <v>9454</v>
      </c>
      <c r="X35">
        <v>9836</v>
      </c>
      <c r="Y35">
        <v>10942</v>
      </c>
      <c r="Z35">
        <v>12685</v>
      </c>
      <c r="AA35">
        <v>14894</v>
      </c>
      <c r="AB35">
        <v>16422</v>
      </c>
      <c r="AC35">
        <v>16575</v>
      </c>
      <c r="AD35">
        <v>18296</v>
      </c>
      <c r="AE35">
        <v>27575</v>
      </c>
      <c r="AF35">
        <v>28035</v>
      </c>
      <c r="AG35">
        <v>29248</v>
      </c>
      <c r="AH35">
        <v>33116</v>
      </c>
      <c r="AI35">
        <v>40752</v>
      </c>
      <c r="AJ35">
        <v>50091</v>
      </c>
      <c r="AK35">
        <v>52700</v>
      </c>
      <c r="AL35">
        <v>63866</v>
      </c>
      <c r="AM35">
        <v>77648</v>
      </c>
      <c r="AN35">
        <v>89550</v>
      </c>
      <c r="AO35">
        <v>105883</v>
      </c>
      <c r="AP35">
        <v>114209</v>
      </c>
      <c r="AQ35">
        <v>141066</v>
      </c>
      <c r="AR35">
        <v>145927</v>
      </c>
      <c r="AS35">
        <v>168609</v>
      </c>
      <c r="AT35">
        <v>214839</v>
      </c>
      <c r="AU35">
        <v>238234</v>
      </c>
      <c r="AV35">
        <v>274200</v>
      </c>
      <c r="AW35">
        <v>307345</v>
      </c>
      <c r="AX35">
        <v>353269</v>
      </c>
      <c r="AY35">
        <v>402431</v>
      </c>
      <c r="AZ35">
        <v>463042</v>
      </c>
      <c r="BA35">
        <v>405643</v>
      </c>
      <c r="BB35">
        <v>411957</v>
      </c>
      <c r="BC35">
        <v>384664</v>
      </c>
      <c r="BD35">
        <v>422135</v>
      </c>
      <c r="BE35">
        <v>467293</v>
      </c>
      <c r="BF35">
        <v>484638</v>
      </c>
      <c r="BG35">
        <v>534908</v>
      </c>
      <c r="BH35">
        <v>595095</v>
      </c>
      <c r="BI35">
        <v>623177</v>
      </c>
      <c r="BJ35">
        <v>700932</v>
      </c>
      <c r="BK35">
        <v>703037</v>
      </c>
      <c r="BL35">
        <v>734905</v>
      </c>
      <c r="BM35">
        <v>737795</v>
      </c>
      <c r="BN35">
        <v>793244</v>
      </c>
      <c r="BO35">
        <v>903561</v>
      </c>
      <c r="BP35">
        <v>1028421</v>
      </c>
      <c r="BQ35">
        <v>1315942</v>
      </c>
      <c r="BR35">
        <v>1383914</v>
      </c>
      <c r="BS35">
        <v>1138576</v>
      </c>
      <c r="BT35">
        <v>946393</v>
      </c>
      <c r="BU35">
        <v>1006059</v>
      </c>
      <c r="BV35">
        <v>1011014</v>
      </c>
      <c r="BW35">
        <v>1086478</v>
      </c>
      <c r="BX35">
        <v>1168879</v>
      </c>
      <c r="BY35">
        <v>1131462</v>
      </c>
      <c r="BZ35">
        <v>1109254</v>
      </c>
      <c r="CA35">
        <v>1364832</v>
      </c>
      <c r="CB35">
        <v>1709764</v>
      </c>
      <c r="CC35">
        <v>1837733</v>
      </c>
      <c r="CD35">
        <v>2025776</v>
      </c>
      <c r="CE35">
        <v>2330040</v>
      </c>
    </row>
    <row r="36" spans="1:83" x14ac:dyDescent="0.15">
      <c r="A36" t="s">
        <v>186</v>
      </c>
      <c r="B36" t="s">
        <v>86</v>
      </c>
      <c r="C36">
        <v>1000000</v>
      </c>
      <c r="D36" t="s">
        <v>87</v>
      </c>
      <c r="E36" t="s">
        <v>187</v>
      </c>
      <c r="F36" s="4" t="s">
        <v>188</v>
      </c>
      <c r="G36">
        <v>8541</v>
      </c>
      <c r="H36">
        <v>9335</v>
      </c>
      <c r="I36">
        <v>10495</v>
      </c>
      <c r="J36">
        <v>11535</v>
      </c>
      <c r="K36">
        <v>12181</v>
      </c>
      <c r="L36">
        <v>12634</v>
      </c>
      <c r="M36">
        <v>13229</v>
      </c>
      <c r="N36">
        <v>13464</v>
      </c>
      <c r="O36">
        <v>14142</v>
      </c>
      <c r="P36">
        <v>14636</v>
      </c>
      <c r="Q36">
        <v>16195</v>
      </c>
      <c r="R36">
        <v>17126</v>
      </c>
      <c r="S36">
        <v>18437</v>
      </c>
      <c r="T36">
        <v>20184</v>
      </c>
      <c r="U36">
        <v>21009</v>
      </c>
      <c r="V36">
        <v>21825</v>
      </c>
      <c r="W36">
        <v>23243</v>
      </c>
      <c r="X36">
        <v>25563</v>
      </c>
      <c r="Y36">
        <v>28236</v>
      </c>
      <c r="Z36">
        <v>31443</v>
      </c>
      <c r="AA36">
        <v>34101</v>
      </c>
      <c r="AB36">
        <v>37691</v>
      </c>
      <c r="AC36">
        <v>37235</v>
      </c>
      <c r="AD36">
        <v>42399</v>
      </c>
      <c r="AE36">
        <v>43292</v>
      </c>
      <c r="AF36">
        <v>59762</v>
      </c>
      <c r="AG36">
        <v>64936</v>
      </c>
      <c r="AH36">
        <v>74173</v>
      </c>
      <c r="AI36">
        <v>104837</v>
      </c>
      <c r="AJ36">
        <v>103738</v>
      </c>
      <c r="AK36">
        <v>107945</v>
      </c>
      <c r="AL36">
        <v>114892</v>
      </c>
      <c r="AM36">
        <v>129232</v>
      </c>
      <c r="AN36">
        <v>141797</v>
      </c>
      <c r="AO36">
        <v>143988</v>
      </c>
      <c r="AP36">
        <v>134320</v>
      </c>
      <c r="AQ36">
        <v>141354</v>
      </c>
      <c r="AR36">
        <v>127196</v>
      </c>
      <c r="AS36">
        <v>158266</v>
      </c>
      <c r="AT36">
        <v>173213</v>
      </c>
      <c r="AU36">
        <v>169299</v>
      </c>
      <c r="AV36">
        <v>185294</v>
      </c>
      <c r="AW36">
        <v>246046</v>
      </c>
      <c r="AX36">
        <v>257203</v>
      </c>
      <c r="AY36">
        <v>264568</v>
      </c>
      <c r="AZ36">
        <v>288117</v>
      </c>
      <c r="BA36">
        <v>279284</v>
      </c>
      <c r="BB36">
        <v>239192</v>
      </c>
      <c r="BC36">
        <v>218772</v>
      </c>
      <c r="BD36">
        <v>212350</v>
      </c>
      <c r="BE36">
        <v>210025</v>
      </c>
      <c r="BF36">
        <v>221455</v>
      </c>
      <c r="BG36">
        <v>249125</v>
      </c>
      <c r="BH36">
        <v>250635</v>
      </c>
      <c r="BI36">
        <v>331346</v>
      </c>
      <c r="BJ36">
        <v>355561</v>
      </c>
      <c r="BK36">
        <v>394915</v>
      </c>
      <c r="BL36">
        <v>450915</v>
      </c>
      <c r="BM36">
        <v>494222</v>
      </c>
      <c r="BN36">
        <v>580957</v>
      </c>
      <c r="BO36">
        <v>766386</v>
      </c>
      <c r="BP36">
        <v>871797</v>
      </c>
      <c r="BQ36">
        <v>946352</v>
      </c>
      <c r="BR36">
        <v>871877</v>
      </c>
      <c r="BS36">
        <v>762492</v>
      </c>
      <c r="BT36">
        <v>673336</v>
      </c>
      <c r="BU36">
        <v>576157</v>
      </c>
      <c r="BV36">
        <v>479607</v>
      </c>
      <c r="BW36">
        <v>487475</v>
      </c>
      <c r="BX36">
        <v>470369</v>
      </c>
      <c r="BY36">
        <v>568482</v>
      </c>
      <c r="BZ36">
        <v>570100</v>
      </c>
      <c r="CA36">
        <v>536211</v>
      </c>
      <c r="CB36">
        <v>626489</v>
      </c>
      <c r="CC36">
        <v>837590</v>
      </c>
      <c r="CD36">
        <v>906319</v>
      </c>
      <c r="CE36">
        <v>1017645</v>
      </c>
    </row>
    <row r="37" spans="1:83" x14ac:dyDescent="0.15">
      <c r="A37" t="s">
        <v>189</v>
      </c>
      <c r="B37" t="s">
        <v>86</v>
      </c>
      <c r="C37">
        <v>1000000</v>
      </c>
      <c r="D37" t="s">
        <v>87</v>
      </c>
      <c r="E37" t="s">
        <v>190</v>
      </c>
      <c r="F37" s="4" t="s">
        <v>191</v>
      </c>
      <c r="G37">
        <v>13697</v>
      </c>
      <c r="H37">
        <v>20041</v>
      </c>
      <c r="I37">
        <v>23392</v>
      </c>
      <c r="J37">
        <v>24980</v>
      </c>
      <c r="K37">
        <v>24718</v>
      </c>
      <c r="L37">
        <v>32694</v>
      </c>
      <c r="M37">
        <v>32316</v>
      </c>
      <c r="N37">
        <v>33077</v>
      </c>
      <c r="O37">
        <v>32800</v>
      </c>
      <c r="P37">
        <v>34832</v>
      </c>
      <c r="Q37">
        <v>43874</v>
      </c>
      <c r="R37">
        <v>47992</v>
      </c>
      <c r="S37">
        <v>49578</v>
      </c>
      <c r="T37">
        <v>53810</v>
      </c>
      <c r="U37">
        <v>59100</v>
      </c>
      <c r="V37">
        <v>61935</v>
      </c>
      <c r="W37">
        <v>65676</v>
      </c>
      <c r="X37">
        <v>68611</v>
      </c>
      <c r="Y37">
        <v>75976</v>
      </c>
      <c r="Z37">
        <v>82924</v>
      </c>
      <c r="AA37">
        <v>94592</v>
      </c>
      <c r="AB37">
        <v>103800</v>
      </c>
      <c r="AC37">
        <v>109723</v>
      </c>
      <c r="AD37">
        <v>126213</v>
      </c>
      <c r="AE37">
        <v>145730</v>
      </c>
      <c r="AF37">
        <v>153602</v>
      </c>
      <c r="AG37">
        <v>167228</v>
      </c>
      <c r="AH37">
        <v>190373</v>
      </c>
      <c r="AI37">
        <v>228428</v>
      </c>
      <c r="AJ37">
        <v>165205</v>
      </c>
      <c r="AK37">
        <v>176372</v>
      </c>
      <c r="AL37">
        <v>195180</v>
      </c>
      <c r="AM37">
        <v>227047</v>
      </c>
      <c r="AN37">
        <v>271823</v>
      </c>
      <c r="AO37">
        <v>327378</v>
      </c>
      <c r="AP37">
        <v>356520</v>
      </c>
      <c r="AQ37">
        <v>383423</v>
      </c>
      <c r="AR37">
        <v>394163</v>
      </c>
      <c r="AS37">
        <v>401994</v>
      </c>
      <c r="AT37">
        <v>436676</v>
      </c>
      <c r="AU37">
        <v>479653</v>
      </c>
      <c r="AV37">
        <v>477971</v>
      </c>
      <c r="AW37">
        <v>522356</v>
      </c>
      <c r="AX37">
        <v>576096</v>
      </c>
      <c r="AY37">
        <v>597901</v>
      </c>
      <c r="AZ37">
        <v>626310</v>
      </c>
      <c r="BA37">
        <v>649415</v>
      </c>
      <c r="BB37">
        <v>682817</v>
      </c>
      <c r="BC37">
        <v>719258</v>
      </c>
      <c r="BD37">
        <v>796530</v>
      </c>
      <c r="BE37">
        <v>877498</v>
      </c>
      <c r="BF37">
        <v>927011</v>
      </c>
      <c r="BG37">
        <v>992089</v>
      </c>
      <c r="BH37">
        <v>1049696</v>
      </c>
      <c r="BI37">
        <v>1228170</v>
      </c>
      <c r="BJ37">
        <v>1541422</v>
      </c>
      <c r="BK37">
        <v>1437691</v>
      </c>
      <c r="BL37">
        <v>1457412</v>
      </c>
      <c r="BM37">
        <v>1402680</v>
      </c>
      <c r="BN37">
        <v>1499936</v>
      </c>
      <c r="BO37">
        <v>1699382</v>
      </c>
      <c r="BP37">
        <v>1812989</v>
      </c>
      <c r="BQ37">
        <v>1898892</v>
      </c>
      <c r="BR37">
        <v>1668971</v>
      </c>
      <c r="BS37">
        <v>1582043</v>
      </c>
      <c r="BT37">
        <v>1738907</v>
      </c>
      <c r="BU37">
        <v>1762612</v>
      </c>
      <c r="BV37">
        <v>1830684</v>
      </c>
      <c r="BW37">
        <v>1931206</v>
      </c>
      <c r="BX37">
        <v>2079753</v>
      </c>
      <c r="BY37">
        <v>2104094</v>
      </c>
      <c r="BZ37">
        <v>2288325</v>
      </c>
      <c r="CA37">
        <v>2369669</v>
      </c>
      <c r="CB37">
        <v>2690361</v>
      </c>
      <c r="CC37">
        <v>2920483</v>
      </c>
      <c r="CD37">
        <v>2762859</v>
      </c>
      <c r="CE37">
        <v>3252870</v>
      </c>
    </row>
    <row r="38" spans="1:83" x14ac:dyDescent="0.15">
      <c r="A38" t="s">
        <v>192</v>
      </c>
      <c r="B38" t="s">
        <v>86</v>
      </c>
      <c r="C38">
        <v>1000000</v>
      </c>
      <c r="D38" t="s">
        <v>87</v>
      </c>
      <c r="E38" t="s">
        <v>193</v>
      </c>
      <c r="F38" s="4" t="s">
        <v>194</v>
      </c>
      <c r="G38">
        <v>10105</v>
      </c>
      <c r="H38">
        <v>8147</v>
      </c>
      <c r="I38">
        <v>10333</v>
      </c>
      <c r="J38">
        <v>11108</v>
      </c>
      <c r="K38">
        <v>8806</v>
      </c>
      <c r="L38">
        <v>16061</v>
      </c>
      <c r="M38">
        <v>20537</v>
      </c>
      <c r="N38">
        <v>17381</v>
      </c>
      <c r="O38">
        <v>17986</v>
      </c>
      <c r="P38">
        <v>14767</v>
      </c>
      <c r="Q38">
        <v>18430</v>
      </c>
      <c r="R38">
        <v>16754</v>
      </c>
      <c r="S38">
        <v>14621</v>
      </c>
      <c r="T38">
        <v>12026</v>
      </c>
      <c r="U38">
        <v>14150</v>
      </c>
      <c r="V38">
        <v>12560</v>
      </c>
      <c r="W38">
        <v>13274</v>
      </c>
      <c r="X38">
        <v>14355</v>
      </c>
      <c r="Y38">
        <v>15744</v>
      </c>
      <c r="Z38">
        <v>16211</v>
      </c>
      <c r="AA38">
        <v>18294</v>
      </c>
      <c r="AB38">
        <v>17414</v>
      </c>
      <c r="AC38">
        <v>13225</v>
      </c>
      <c r="AD38">
        <v>14330</v>
      </c>
      <c r="AE38">
        <v>12628</v>
      </c>
      <c r="AF38">
        <v>9996</v>
      </c>
      <c r="AG38">
        <v>13086</v>
      </c>
      <c r="AH38">
        <v>15521</v>
      </c>
      <c r="AI38">
        <v>19305</v>
      </c>
      <c r="AJ38">
        <v>24516</v>
      </c>
      <c r="AK38">
        <v>22292</v>
      </c>
      <c r="AL38">
        <v>27790</v>
      </c>
      <c r="AM38">
        <v>29134</v>
      </c>
      <c r="AN38">
        <v>34055</v>
      </c>
      <c r="AO38">
        <v>40986</v>
      </c>
      <c r="AP38">
        <v>43864</v>
      </c>
      <c r="AQ38">
        <v>39864</v>
      </c>
      <c r="AR38">
        <v>35585</v>
      </c>
      <c r="AS38">
        <v>38646</v>
      </c>
      <c r="AT38">
        <v>42167</v>
      </c>
      <c r="AU38">
        <v>39009</v>
      </c>
      <c r="AV38">
        <v>42784</v>
      </c>
      <c r="AW38">
        <v>47866</v>
      </c>
      <c r="AX38">
        <v>44371</v>
      </c>
      <c r="AY38">
        <v>38289</v>
      </c>
      <c r="AZ38">
        <v>38302</v>
      </c>
      <c r="BA38">
        <v>28892</v>
      </c>
      <c r="BB38">
        <v>35344</v>
      </c>
      <c r="BC38">
        <v>40725</v>
      </c>
      <c r="BD38">
        <v>40315</v>
      </c>
      <c r="BE38">
        <v>40309</v>
      </c>
      <c r="BF38">
        <v>49872</v>
      </c>
      <c r="BG38">
        <v>59214</v>
      </c>
      <c r="BH38">
        <v>64058</v>
      </c>
      <c r="BI38">
        <v>71032</v>
      </c>
      <c r="BJ38">
        <v>77992</v>
      </c>
      <c r="BK38">
        <v>81045</v>
      </c>
      <c r="BL38">
        <v>92954</v>
      </c>
      <c r="BM38">
        <v>81222</v>
      </c>
      <c r="BN38">
        <v>87996</v>
      </c>
      <c r="BO38">
        <v>86222</v>
      </c>
      <c r="BP38">
        <v>85421</v>
      </c>
      <c r="BQ38">
        <v>35828</v>
      </c>
      <c r="BR38">
        <v>38954</v>
      </c>
      <c r="BS38">
        <v>35700</v>
      </c>
      <c r="BT38">
        <v>78398</v>
      </c>
      <c r="BU38">
        <v>91745</v>
      </c>
      <c r="BV38">
        <v>93102</v>
      </c>
      <c r="BW38">
        <v>83191</v>
      </c>
      <c r="BX38">
        <v>95409</v>
      </c>
      <c r="BY38">
        <v>74206</v>
      </c>
      <c r="BZ38">
        <v>66113</v>
      </c>
      <c r="CA38">
        <v>277226</v>
      </c>
      <c r="CB38">
        <v>266675</v>
      </c>
      <c r="CC38">
        <v>259902</v>
      </c>
      <c r="CD38">
        <v>270519</v>
      </c>
      <c r="CE38">
        <v>242152</v>
      </c>
    </row>
    <row r="39" spans="1:83" x14ac:dyDescent="0.15">
      <c r="A39" t="s">
        <v>195</v>
      </c>
      <c r="B39" t="s">
        <v>86</v>
      </c>
      <c r="C39">
        <v>1000000</v>
      </c>
      <c r="D39" t="s">
        <v>87</v>
      </c>
      <c r="E39" t="s">
        <v>196</v>
      </c>
      <c r="F39" s="4" t="s">
        <v>197</v>
      </c>
      <c r="G39">
        <v>309</v>
      </c>
      <c r="H39">
        <v>305</v>
      </c>
      <c r="I39">
        <v>324</v>
      </c>
      <c r="J39">
        <v>359</v>
      </c>
      <c r="K39">
        <v>389</v>
      </c>
      <c r="L39">
        <v>480</v>
      </c>
      <c r="M39">
        <v>532</v>
      </c>
      <c r="N39">
        <v>579</v>
      </c>
      <c r="O39">
        <v>632</v>
      </c>
      <c r="P39">
        <v>681</v>
      </c>
      <c r="Q39">
        <v>746</v>
      </c>
      <c r="R39">
        <v>819</v>
      </c>
      <c r="S39">
        <v>873</v>
      </c>
      <c r="T39">
        <v>930</v>
      </c>
      <c r="U39">
        <v>1017</v>
      </c>
      <c r="V39">
        <v>1067</v>
      </c>
      <c r="W39">
        <v>1092</v>
      </c>
      <c r="X39">
        <v>1171</v>
      </c>
      <c r="Y39">
        <v>1208</v>
      </c>
      <c r="Z39">
        <v>1245</v>
      </c>
      <c r="AA39">
        <v>1329</v>
      </c>
      <c r="AB39">
        <v>1434</v>
      </c>
      <c r="AC39">
        <v>1567</v>
      </c>
      <c r="AD39">
        <v>1702</v>
      </c>
      <c r="AE39">
        <v>1979</v>
      </c>
      <c r="AF39">
        <v>2286</v>
      </c>
      <c r="AG39">
        <v>2307</v>
      </c>
      <c r="AH39">
        <v>2465</v>
      </c>
      <c r="AI39">
        <v>3011</v>
      </c>
      <c r="AJ39">
        <v>3981</v>
      </c>
      <c r="AK39">
        <v>4434</v>
      </c>
      <c r="AL39">
        <v>8872</v>
      </c>
      <c r="AM39">
        <v>10368</v>
      </c>
      <c r="AN39">
        <v>12979</v>
      </c>
      <c r="AO39">
        <v>16399</v>
      </c>
      <c r="AP39">
        <v>22988</v>
      </c>
      <c r="AQ39">
        <v>29910</v>
      </c>
      <c r="AR39">
        <v>27257</v>
      </c>
      <c r="AS39">
        <v>29770</v>
      </c>
      <c r="AT39">
        <v>35874</v>
      </c>
      <c r="AU39">
        <v>40132</v>
      </c>
      <c r="AV39">
        <v>49532</v>
      </c>
      <c r="AW39">
        <v>66301</v>
      </c>
      <c r="AX39">
        <v>76451</v>
      </c>
      <c r="AY39">
        <v>96187</v>
      </c>
      <c r="AZ39">
        <v>104730</v>
      </c>
      <c r="BA39">
        <v>98120</v>
      </c>
      <c r="BB39">
        <v>100117</v>
      </c>
      <c r="BC39">
        <v>118993</v>
      </c>
      <c r="BD39">
        <v>114500</v>
      </c>
      <c r="BE39">
        <v>113366</v>
      </c>
      <c r="BF39">
        <v>125607</v>
      </c>
      <c r="BG39">
        <v>147048</v>
      </c>
      <c r="BH39">
        <v>171885</v>
      </c>
      <c r="BI39">
        <v>224574</v>
      </c>
      <c r="BJ39">
        <v>280845</v>
      </c>
      <c r="BK39">
        <v>333019</v>
      </c>
      <c r="BL39">
        <v>308096</v>
      </c>
      <c r="BM39">
        <v>266249</v>
      </c>
      <c r="BN39">
        <v>262887</v>
      </c>
      <c r="BO39">
        <v>276048</v>
      </c>
      <c r="BP39">
        <v>322943</v>
      </c>
      <c r="BQ39">
        <v>384157</v>
      </c>
      <c r="BR39">
        <v>422721</v>
      </c>
      <c r="BS39">
        <v>405516</v>
      </c>
      <c r="BT39">
        <v>406300</v>
      </c>
      <c r="BU39">
        <v>429192</v>
      </c>
      <c r="BV39">
        <v>407218</v>
      </c>
      <c r="BW39">
        <v>418959</v>
      </c>
      <c r="BX39">
        <v>465888</v>
      </c>
      <c r="BY39">
        <v>507867</v>
      </c>
      <c r="BZ39">
        <v>467240</v>
      </c>
      <c r="CA39">
        <v>471938</v>
      </c>
      <c r="CB39">
        <v>408185</v>
      </c>
      <c r="CC39">
        <v>410706</v>
      </c>
      <c r="CD39">
        <v>366912</v>
      </c>
      <c r="CE39">
        <v>328098</v>
      </c>
    </row>
    <row r="40" spans="1:83" x14ac:dyDescent="0.15">
      <c r="A40" t="s">
        <v>198</v>
      </c>
      <c r="B40" t="s">
        <v>86</v>
      </c>
      <c r="C40">
        <v>1000000</v>
      </c>
      <c r="D40" t="s">
        <v>87</v>
      </c>
      <c r="E40" t="s">
        <v>199</v>
      </c>
      <c r="F40" s="4" t="s">
        <v>200</v>
      </c>
      <c r="G40">
        <v>1424</v>
      </c>
      <c r="H40">
        <v>1778</v>
      </c>
      <c r="I40">
        <v>2166</v>
      </c>
      <c r="J40">
        <v>2578</v>
      </c>
      <c r="K40">
        <v>2779</v>
      </c>
      <c r="L40">
        <v>3972</v>
      </c>
      <c r="M40">
        <v>4189</v>
      </c>
      <c r="N40">
        <v>5096</v>
      </c>
      <c r="O40">
        <v>5428</v>
      </c>
      <c r="P40">
        <v>6151</v>
      </c>
      <c r="Q40">
        <v>7008</v>
      </c>
      <c r="R40">
        <v>6975</v>
      </c>
      <c r="S40">
        <v>7163</v>
      </c>
      <c r="T40">
        <v>7670</v>
      </c>
      <c r="U40">
        <v>8247</v>
      </c>
      <c r="V40">
        <v>8421</v>
      </c>
      <c r="W40">
        <v>9082</v>
      </c>
      <c r="X40">
        <v>9776</v>
      </c>
      <c r="Y40">
        <v>10745</v>
      </c>
      <c r="Z40">
        <v>11716</v>
      </c>
      <c r="AA40">
        <v>12803</v>
      </c>
      <c r="AB40">
        <v>13601</v>
      </c>
      <c r="AC40">
        <v>17255</v>
      </c>
      <c r="AD40">
        <v>17672</v>
      </c>
      <c r="AE40">
        <v>21193</v>
      </c>
      <c r="AF40">
        <v>10355</v>
      </c>
      <c r="AG40">
        <v>10453</v>
      </c>
      <c r="AH40">
        <v>9365</v>
      </c>
      <c r="AI40">
        <v>12572</v>
      </c>
      <c r="AJ40">
        <v>17856</v>
      </c>
      <c r="AK40">
        <v>311186</v>
      </c>
      <c r="AL40">
        <v>343133</v>
      </c>
      <c r="AM40">
        <v>378472</v>
      </c>
      <c r="AN40">
        <v>447363</v>
      </c>
      <c r="AO40">
        <v>552814</v>
      </c>
      <c r="AP40">
        <v>668220</v>
      </c>
      <c r="AQ40">
        <v>801642</v>
      </c>
      <c r="AR40">
        <v>866787</v>
      </c>
      <c r="AS40">
        <v>891935</v>
      </c>
      <c r="AT40">
        <v>955831</v>
      </c>
      <c r="AU40">
        <v>1110466</v>
      </c>
      <c r="AV40">
        <v>1063441</v>
      </c>
      <c r="AW40">
        <v>1085912</v>
      </c>
      <c r="AX40">
        <v>1229527</v>
      </c>
      <c r="AY40">
        <v>1345138</v>
      </c>
      <c r="AZ40">
        <v>1374690</v>
      </c>
      <c r="BA40">
        <v>1526704</v>
      </c>
      <c r="BB40">
        <v>1746455</v>
      </c>
      <c r="BC40">
        <v>1818973</v>
      </c>
      <c r="BD40">
        <v>1787994</v>
      </c>
      <c r="BE40">
        <v>1884335</v>
      </c>
      <c r="BF40">
        <v>2031857</v>
      </c>
      <c r="BG40">
        <v>1908706</v>
      </c>
      <c r="BH40">
        <v>2262697</v>
      </c>
      <c r="BI40">
        <v>2571632</v>
      </c>
      <c r="BJ40">
        <v>3053167</v>
      </c>
      <c r="BK40">
        <v>3163773</v>
      </c>
      <c r="BL40">
        <v>3274875</v>
      </c>
      <c r="BM40">
        <v>3307496</v>
      </c>
      <c r="BN40">
        <v>3509809</v>
      </c>
      <c r="BO40">
        <v>3828104</v>
      </c>
      <c r="BP40">
        <v>3900117</v>
      </c>
      <c r="BQ40">
        <v>4223505</v>
      </c>
      <c r="BR40">
        <v>4457556</v>
      </c>
      <c r="BS40">
        <v>4644104</v>
      </c>
      <c r="BT40">
        <v>4864560</v>
      </c>
      <c r="BU40">
        <v>5147329</v>
      </c>
      <c r="BV40">
        <v>5542838</v>
      </c>
      <c r="BW40">
        <v>5726786</v>
      </c>
      <c r="BX40">
        <v>6197085</v>
      </c>
      <c r="BY40">
        <v>6900432</v>
      </c>
      <c r="BZ40">
        <v>7513940</v>
      </c>
      <c r="CA40">
        <v>7046114</v>
      </c>
      <c r="CB40">
        <v>7337228</v>
      </c>
      <c r="CC40">
        <v>9075500</v>
      </c>
      <c r="CD40">
        <v>8266606</v>
      </c>
      <c r="CE40">
        <v>8341039</v>
      </c>
    </row>
    <row r="41" spans="1:83" x14ac:dyDescent="0.15">
      <c r="A41" t="s">
        <v>201</v>
      </c>
      <c r="B41" t="s">
        <v>86</v>
      </c>
      <c r="C41">
        <v>1000000</v>
      </c>
      <c r="D41" t="s">
        <v>87</v>
      </c>
      <c r="E41" t="s">
        <v>202</v>
      </c>
      <c r="F41" s="4" t="s">
        <v>203</v>
      </c>
      <c r="G41">
        <v>215967</v>
      </c>
      <c r="H41">
        <v>232012</v>
      </c>
      <c r="I41">
        <v>269729</v>
      </c>
      <c r="J41">
        <v>294148</v>
      </c>
      <c r="K41">
        <v>304352</v>
      </c>
      <c r="L41">
        <v>328550</v>
      </c>
      <c r="M41">
        <v>364213</v>
      </c>
      <c r="N41">
        <v>383031</v>
      </c>
      <c r="O41">
        <v>399386</v>
      </c>
      <c r="P41">
        <v>410719</v>
      </c>
      <c r="Q41">
        <v>444137</v>
      </c>
      <c r="R41">
        <v>488859</v>
      </c>
      <c r="S41">
        <v>516128</v>
      </c>
      <c r="T41">
        <v>530427</v>
      </c>
      <c r="U41">
        <v>553543</v>
      </c>
      <c r="V41">
        <v>560568</v>
      </c>
      <c r="W41">
        <v>577550</v>
      </c>
      <c r="X41">
        <v>597084</v>
      </c>
      <c r="Y41">
        <v>615438</v>
      </c>
      <c r="Z41">
        <v>644742</v>
      </c>
      <c r="AA41">
        <v>688427</v>
      </c>
      <c r="AB41">
        <v>740320</v>
      </c>
      <c r="AC41">
        <v>795871</v>
      </c>
      <c r="AD41">
        <v>861724</v>
      </c>
      <c r="AE41">
        <v>945049</v>
      </c>
      <c r="AF41">
        <v>1026357</v>
      </c>
      <c r="AG41">
        <v>1127868</v>
      </c>
      <c r="AH41">
        <v>1246849</v>
      </c>
      <c r="AI41">
        <v>1406745</v>
      </c>
      <c r="AJ41">
        <v>1793822</v>
      </c>
      <c r="AK41">
        <v>1818214</v>
      </c>
      <c r="AL41">
        <v>2028010</v>
      </c>
      <c r="AM41">
        <v>2246949</v>
      </c>
      <c r="AN41">
        <v>2545203</v>
      </c>
      <c r="AO41">
        <v>2927793</v>
      </c>
      <c r="AP41">
        <v>3358586</v>
      </c>
      <c r="AQ41">
        <v>3748300</v>
      </c>
      <c r="AR41">
        <v>3933541</v>
      </c>
      <c r="AS41">
        <v>4109603</v>
      </c>
      <c r="AT41">
        <v>4367618</v>
      </c>
      <c r="AU41">
        <v>4492271</v>
      </c>
      <c r="AV41">
        <v>4652735</v>
      </c>
      <c r="AW41">
        <v>4899127</v>
      </c>
      <c r="AX41">
        <v>5236617</v>
      </c>
      <c r="AY41">
        <v>5437295</v>
      </c>
      <c r="AZ41">
        <v>5503656</v>
      </c>
      <c r="BA41">
        <v>5373495</v>
      </c>
      <c r="BB41">
        <v>5105039</v>
      </c>
      <c r="BC41">
        <v>5308050</v>
      </c>
      <c r="BD41">
        <v>5743075</v>
      </c>
      <c r="BE41">
        <v>6217861</v>
      </c>
      <c r="BF41">
        <v>6654855</v>
      </c>
      <c r="BG41">
        <v>7727621</v>
      </c>
      <c r="BH41">
        <v>8665793</v>
      </c>
      <c r="BI41">
        <v>9509309</v>
      </c>
      <c r="BJ41">
        <v>10958792</v>
      </c>
      <c r="BK41">
        <v>10893962</v>
      </c>
      <c r="BL41">
        <v>11223391</v>
      </c>
      <c r="BM41">
        <v>11771367</v>
      </c>
      <c r="BN41">
        <v>13697214</v>
      </c>
      <c r="BO41">
        <v>15102109</v>
      </c>
      <c r="BP41">
        <v>16726706</v>
      </c>
      <c r="BQ41">
        <v>18229341</v>
      </c>
      <c r="BR41">
        <v>16333839</v>
      </c>
      <c r="BS41">
        <v>14556232</v>
      </c>
      <c r="BT41">
        <v>13859762</v>
      </c>
      <c r="BU41">
        <v>14377796</v>
      </c>
      <c r="BV41">
        <v>14794983</v>
      </c>
      <c r="BW41">
        <v>16699093</v>
      </c>
      <c r="BX41">
        <v>17464064</v>
      </c>
      <c r="BY41">
        <v>18400115</v>
      </c>
      <c r="BZ41">
        <v>19419556</v>
      </c>
      <c r="CA41">
        <v>21229505</v>
      </c>
      <c r="CB41">
        <v>21841160</v>
      </c>
      <c r="CC41">
        <v>24189516</v>
      </c>
      <c r="CD41">
        <v>26044889</v>
      </c>
      <c r="CE41">
        <v>29867040</v>
      </c>
    </row>
    <row r="42" spans="1:83" x14ac:dyDescent="0.15">
      <c r="A42" t="s">
        <v>204</v>
      </c>
      <c r="B42" t="s">
        <v>86</v>
      </c>
      <c r="C42">
        <v>1000000</v>
      </c>
      <c r="D42" t="s">
        <v>87</v>
      </c>
      <c r="E42" t="s">
        <v>205</v>
      </c>
      <c r="F42" s="4" t="s">
        <v>206</v>
      </c>
      <c r="G42">
        <v>103694</v>
      </c>
      <c r="H42">
        <v>97302</v>
      </c>
      <c r="I42">
        <v>95116</v>
      </c>
      <c r="J42">
        <v>94141</v>
      </c>
      <c r="K42">
        <v>103822</v>
      </c>
      <c r="L42">
        <v>126681</v>
      </c>
      <c r="M42">
        <v>147629</v>
      </c>
      <c r="N42">
        <v>146628</v>
      </c>
      <c r="O42">
        <v>144082</v>
      </c>
      <c r="P42">
        <v>194840</v>
      </c>
      <c r="Q42">
        <v>244222</v>
      </c>
      <c r="R42">
        <v>268373</v>
      </c>
      <c r="S42">
        <v>245747</v>
      </c>
      <c r="T42">
        <v>324670</v>
      </c>
      <c r="U42">
        <v>362157</v>
      </c>
      <c r="V42">
        <v>365166</v>
      </c>
      <c r="W42">
        <v>437674</v>
      </c>
      <c r="X42">
        <v>424314</v>
      </c>
      <c r="Y42">
        <v>465779</v>
      </c>
      <c r="Z42">
        <v>545955</v>
      </c>
      <c r="AA42">
        <v>623812</v>
      </c>
      <c r="AB42">
        <v>547891</v>
      </c>
      <c r="AC42">
        <v>712221</v>
      </c>
      <c r="AD42">
        <v>843150</v>
      </c>
      <c r="AE42">
        <v>705075</v>
      </c>
      <c r="AF42">
        <v>702189</v>
      </c>
      <c r="AG42">
        <v>823753</v>
      </c>
      <c r="AH42">
        <v>1032664</v>
      </c>
      <c r="AI42">
        <v>809377</v>
      </c>
      <c r="AJ42">
        <v>557581</v>
      </c>
      <c r="AK42">
        <v>754817</v>
      </c>
      <c r="AL42">
        <v>927300</v>
      </c>
      <c r="AM42">
        <v>819054</v>
      </c>
      <c r="AN42">
        <v>856213</v>
      </c>
      <c r="AO42">
        <v>1014625</v>
      </c>
      <c r="AP42">
        <v>1346332</v>
      </c>
      <c r="AQ42">
        <v>1225445</v>
      </c>
      <c r="AR42">
        <v>1386269</v>
      </c>
      <c r="AS42">
        <v>1630197</v>
      </c>
      <c r="AT42">
        <v>1553280</v>
      </c>
      <c r="AU42">
        <v>1916908</v>
      </c>
      <c r="AV42">
        <v>2240835</v>
      </c>
      <c r="AW42">
        <v>2286653</v>
      </c>
      <c r="AX42">
        <v>2558076</v>
      </c>
      <c r="AY42">
        <v>3138600</v>
      </c>
      <c r="AZ42">
        <v>2955814</v>
      </c>
      <c r="BA42">
        <v>3998481</v>
      </c>
      <c r="BB42">
        <v>4361179</v>
      </c>
      <c r="BC42">
        <v>4842338</v>
      </c>
      <c r="BD42">
        <v>4796829</v>
      </c>
      <c r="BE42">
        <v>6406754</v>
      </c>
      <c r="BF42">
        <v>7136150</v>
      </c>
      <c r="BG42">
        <v>9055845</v>
      </c>
      <c r="BH42">
        <v>11482812</v>
      </c>
      <c r="BI42">
        <v>15036312</v>
      </c>
      <c r="BJ42">
        <v>13087586</v>
      </c>
      <c r="BK42">
        <v>11677540</v>
      </c>
      <c r="BL42">
        <v>8991360</v>
      </c>
      <c r="BM42">
        <v>11540719</v>
      </c>
      <c r="BN42">
        <v>12946710</v>
      </c>
      <c r="BO42">
        <v>13574117</v>
      </c>
      <c r="BP42">
        <v>15089636</v>
      </c>
      <c r="BQ42">
        <v>16333228</v>
      </c>
      <c r="BR42">
        <v>10621521</v>
      </c>
      <c r="BS42">
        <v>13049303</v>
      </c>
      <c r="BT42">
        <v>14830039</v>
      </c>
      <c r="BU42">
        <v>14777979</v>
      </c>
      <c r="BV42">
        <v>16522480</v>
      </c>
      <c r="BW42">
        <v>21515318</v>
      </c>
      <c r="BX42">
        <v>23969972</v>
      </c>
      <c r="BY42">
        <v>23113601</v>
      </c>
      <c r="BZ42">
        <v>24652951</v>
      </c>
      <c r="CA42">
        <v>28747455</v>
      </c>
      <c r="CB42">
        <v>26543606</v>
      </c>
      <c r="CC42">
        <v>33680489</v>
      </c>
      <c r="CD42">
        <v>42497994</v>
      </c>
      <c r="CE42">
        <v>51470205</v>
      </c>
    </row>
    <row r="43" spans="1:83" x14ac:dyDescent="0.15">
      <c r="A43" t="s">
        <v>207</v>
      </c>
      <c r="B43" t="s">
        <v>86</v>
      </c>
      <c r="C43">
        <v>1000000</v>
      </c>
      <c r="D43" t="s">
        <v>87</v>
      </c>
      <c r="E43" t="s">
        <v>208</v>
      </c>
      <c r="F43" s="4" t="s">
        <v>209</v>
      </c>
      <c r="G43">
        <v>103694</v>
      </c>
      <c r="H43">
        <v>97302</v>
      </c>
      <c r="I43">
        <v>95116</v>
      </c>
      <c r="J43">
        <v>94141</v>
      </c>
      <c r="K43">
        <v>103822</v>
      </c>
      <c r="L43">
        <v>126681</v>
      </c>
      <c r="M43">
        <v>147629</v>
      </c>
      <c r="N43">
        <v>146628</v>
      </c>
      <c r="O43">
        <v>144082</v>
      </c>
      <c r="P43">
        <v>194840</v>
      </c>
      <c r="Q43">
        <v>244222</v>
      </c>
      <c r="R43">
        <v>268373</v>
      </c>
      <c r="S43">
        <v>245747</v>
      </c>
      <c r="T43">
        <v>324670</v>
      </c>
      <c r="U43">
        <v>362157</v>
      </c>
      <c r="V43">
        <v>365166</v>
      </c>
      <c r="W43">
        <v>437674</v>
      </c>
      <c r="X43">
        <v>424314</v>
      </c>
      <c r="Y43">
        <v>465779</v>
      </c>
      <c r="Z43">
        <v>545955</v>
      </c>
      <c r="AA43">
        <v>623812</v>
      </c>
      <c r="AB43">
        <v>547891</v>
      </c>
      <c r="AC43">
        <v>712221</v>
      </c>
      <c r="AD43">
        <v>843150</v>
      </c>
      <c r="AE43">
        <v>705075</v>
      </c>
      <c r="AF43">
        <v>702189</v>
      </c>
      <c r="AG43">
        <v>823753</v>
      </c>
      <c r="AH43">
        <v>1032664</v>
      </c>
      <c r="AI43">
        <v>809377</v>
      </c>
      <c r="AJ43">
        <v>557581</v>
      </c>
      <c r="AK43">
        <v>754817</v>
      </c>
      <c r="AL43">
        <v>927300</v>
      </c>
      <c r="AM43">
        <v>819054</v>
      </c>
      <c r="AN43">
        <v>856213</v>
      </c>
      <c r="AO43">
        <v>1014625</v>
      </c>
      <c r="AP43">
        <v>1346332</v>
      </c>
      <c r="AQ43">
        <v>1225445</v>
      </c>
      <c r="AR43">
        <v>1386269</v>
      </c>
      <c r="AS43">
        <v>1630197</v>
      </c>
      <c r="AT43">
        <v>1553280</v>
      </c>
      <c r="AU43">
        <v>1916908</v>
      </c>
      <c r="AV43">
        <v>2240835</v>
      </c>
      <c r="AW43">
        <v>2286653</v>
      </c>
      <c r="AX43">
        <v>2558076</v>
      </c>
      <c r="AY43">
        <v>3138600</v>
      </c>
      <c r="AZ43">
        <v>2955814</v>
      </c>
      <c r="BA43">
        <v>3998481</v>
      </c>
      <c r="BB43">
        <v>4361179</v>
      </c>
      <c r="BC43">
        <v>4842338</v>
      </c>
      <c r="BD43">
        <v>4796829</v>
      </c>
      <c r="BE43">
        <v>6406754</v>
      </c>
      <c r="BF43">
        <v>6256035</v>
      </c>
      <c r="BG43">
        <v>7901557</v>
      </c>
      <c r="BH43">
        <v>10031223</v>
      </c>
      <c r="BI43">
        <v>13421493</v>
      </c>
      <c r="BJ43">
        <v>11654114</v>
      </c>
      <c r="BK43">
        <v>10176925</v>
      </c>
      <c r="BL43">
        <v>7718881</v>
      </c>
      <c r="BM43">
        <v>10094934</v>
      </c>
      <c r="BN43">
        <v>11221273</v>
      </c>
      <c r="BO43">
        <v>11584994</v>
      </c>
      <c r="BP43">
        <v>12846800</v>
      </c>
      <c r="BQ43">
        <v>13771042</v>
      </c>
      <c r="BR43">
        <v>8644861</v>
      </c>
      <c r="BS43">
        <v>10925012</v>
      </c>
      <c r="BT43">
        <v>12606849</v>
      </c>
      <c r="BU43">
        <v>12546761</v>
      </c>
      <c r="BV43">
        <v>13932843</v>
      </c>
      <c r="BW43">
        <v>17995223</v>
      </c>
      <c r="BX43">
        <v>19727681</v>
      </c>
      <c r="BY43">
        <v>18751371</v>
      </c>
      <c r="BZ43">
        <v>19941471</v>
      </c>
      <c r="CA43">
        <v>23547989</v>
      </c>
      <c r="CB43">
        <v>21728860</v>
      </c>
      <c r="CC43">
        <v>27633900</v>
      </c>
      <c r="CD43">
        <v>35189961</v>
      </c>
      <c r="CE43">
        <v>43524891</v>
      </c>
    </row>
    <row r="44" spans="1:83" x14ac:dyDescent="0.15">
      <c r="A44" t="s">
        <v>210</v>
      </c>
      <c r="B44" t="s">
        <v>86</v>
      </c>
      <c r="C44">
        <v>1000000</v>
      </c>
      <c r="D44" t="s">
        <v>87</v>
      </c>
      <c r="E44" t="s">
        <v>211</v>
      </c>
      <c r="F44" s="4" t="s">
        <v>212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880115</v>
      </c>
      <c r="BG44">
        <v>1154288</v>
      </c>
      <c r="BH44">
        <v>1451589</v>
      </c>
      <c r="BI44">
        <v>1614819</v>
      </c>
      <c r="BJ44">
        <v>1433472</v>
      </c>
      <c r="BK44">
        <v>1500615</v>
      </c>
      <c r="BL44">
        <v>1272479</v>
      </c>
      <c r="BM44">
        <v>1445785</v>
      </c>
      <c r="BN44">
        <v>1725437</v>
      </c>
      <c r="BO44">
        <v>1989123</v>
      </c>
      <c r="BP44">
        <v>2242836</v>
      </c>
      <c r="BQ44">
        <v>2562186</v>
      </c>
      <c r="BR44">
        <v>1976660</v>
      </c>
      <c r="BS44">
        <v>2124291</v>
      </c>
      <c r="BT44">
        <v>2223190</v>
      </c>
      <c r="BU44">
        <v>2231218</v>
      </c>
      <c r="BV44">
        <v>2589637</v>
      </c>
      <c r="BW44">
        <v>3520095</v>
      </c>
      <c r="BX44">
        <v>4242291</v>
      </c>
      <c r="BY44">
        <v>4362230</v>
      </c>
      <c r="BZ44">
        <v>4711480</v>
      </c>
      <c r="CA44">
        <v>5199466</v>
      </c>
      <c r="CB44">
        <v>4814746</v>
      </c>
      <c r="CC44">
        <v>6046589</v>
      </c>
      <c r="CD44">
        <v>7308033</v>
      </c>
      <c r="CE44">
        <v>7945314</v>
      </c>
    </row>
    <row r="45" spans="1:83" x14ac:dyDescent="0.15">
      <c r="A45" t="s">
        <v>213</v>
      </c>
      <c r="B45" t="s">
        <v>86</v>
      </c>
      <c r="C45">
        <v>1000000</v>
      </c>
      <c r="D45" t="s">
        <v>87</v>
      </c>
      <c r="E45" t="s">
        <v>214</v>
      </c>
      <c r="F45" s="4" t="s">
        <v>215</v>
      </c>
      <c r="G45">
        <v>1184</v>
      </c>
      <c r="H45">
        <v>1176</v>
      </c>
      <c r="I45">
        <v>1247</v>
      </c>
      <c r="J45">
        <v>1386</v>
      </c>
      <c r="K45">
        <v>1499</v>
      </c>
      <c r="L45">
        <v>1848</v>
      </c>
      <c r="M45">
        <v>2050</v>
      </c>
      <c r="N45">
        <v>2227</v>
      </c>
      <c r="O45">
        <v>2434</v>
      </c>
      <c r="P45">
        <v>2619</v>
      </c>
      <c r="Q45">
        <v>2870</v>
      </c>
      <c r="R45">
        <v>3148</v>
      </c>
      <c r="S45">
        <v>3355</v>
      </c>
      <c r="T45">
        <v>3574</v>
      </c>
      <c r="U45">
        <v>3906</v>
      </c>
      <c r="V45">
        <v>4102</v>
      </c>
      <c r="W45">
        <v>4194</v>
      </c>
      <c r="X45">
        <v>4502</v>
      </c>
      <c r="Y45">
        <v>4644</v>
      </c>
      <c r="Z45">
        <v>4788</v>
      </c>
      <c r="AA45">
        <v>5104</v>
      </c>
      <c r="AB45">
        <v>5513</v>
      </c>
      <c r="AC45">
        <v>6028</v>
      </c>
      <c r="AD45">
        <v>6548</v>
      </c>
      <c r="AE45">
        <v>7611</v>
      </c>
      <c r="AF45">
        <v>8788</v>
      </c>
      <c r="AG45">
        <v>8874</v>
      </c>
      <c r="AH45">
        <v>9481</v>
      </c>
      <c r="AI45">
        <v>11576</v>
      </c>
      <c r="AJ45">
        <v>15314</v>
      </c>
      <c r="AK45">
        <v>17056</v>
      </c>
      <c r="AL45">
        <v>34129</v>
      </c>
      <c r="AM45">
        <v>39878</v>
      </c>
      <c r="AN45">
        <v>49919</v>
      </c>
      <c r="AO45">
        <v>63076</v>
      </c>
      <c r="AP45">
        <v>88418</v>
      </c>
      <c r="AQ45">
        <v>115036</v>
      </c>
      <c r="AR45">
        <v>86561</v>
      </c>
      <c r="AS45">
        <v>102936</v>
      </c>
      <c r="AT45">
        <v>112020</v>
      </c>
      <c r="AU45">
        <v>147722</v>
      </c>
      <c r="AV45">
        <v>194800</v>
      </c>
      <c r="AW45">
        <v>234602</v>
      </c>
      <c r="AX45">
        <v>309155</v>
      </c>
      <c r="AY45">
        <v>416172</v>
      </c>
      <c r="AZ45">
        <v>439126</v>
      </c>
      <c r="BA45">
        <v>530447</v>
      </c>
      <c r="BB45">
        <v>559391</v>
      </c>
      <c r="BC45">
        <v>571322</v>
      </c>
      <c r="BD45">
        <v>603366</v>
      </c>
      <c r="BE45">
        <v>810799</v>
      </c>
      <c r="BF45">
        <v>985202</v>
      </c>
      <c r="BG45">
        <v>1276237</v>
      </c>
      <c r="BH45">
        <v>1683980</v>
      </c>
      <c r="BI45">
        <v>2089245</v>
      </c>
      <c r="BJ45">
        <v>2048977</v>
      </c>
      <c r="BK45">
        <v>1821515</v>
      </c>
      <c r="BL45">
        <v>1399049</v>
      </c>
      <c r="BM45">
        <v>1779615</v>
      </c>
      <c r="BN45">
        <v>1964420</v>
      </c>
      <c r="BO45">
        <v>2045086</v>
      </c>
      <c r="BP45">
        <v>2344607</v>
      </c>
      <c r="BQ45">
        <v>2627511</v>
      </c>
      <c r="BR45">
        <v>1741398</v>
      </c>
      <c r="BS45">
        <v>2120860</v>
      </c>
      <c r="BT45">
        <v>2423211</v>
      </c>
      <c r="BU45">
        <v>2419115</v>
      </c>
      <c r="BV45">
        <v>2795947</v>
      </c>
      <c r="BW45">
        <v>3703444</v>
      </c>
      <c r="BX45">
        <v>4079838</v>
      </c>
      <c r="BY45">
        <v>4277665</v>
      </c>
      <c r="BZ45">
        <v>5006014</v>
      </c>
      <c r="CA45">
        <v>6154227</v>
      </c>
      <c r="CB45">
        <v>5813202</v>
      </c>
      <c r="CC45">
        <v>7498182</v>
      </c>
      <c r="CD45">
        <v>8712062</v>
      </c>
      <c r="CE45">
        <v>11191517</v>
      </c>
    </row>
    <row r="46" spans="1:83" x14ac:dyDescent="0.15">
      <c r="A46" t="s">
        <v>216</v>
      </c>
      <c r="B46" t="s">
        <v>217</v>
      </c>
      <c r="C46">
        <v>1</v>
      </c>
      <c r="D46" t="s">
        <v>218</v>
      </c>
      <c r="E46" t="s">
        <v>219</v>
      </c>
      <c r="F46" s="4" t="s">
        <v>220</v>
      </c>
      <c r="G46">
        <v>48.562143195915034</v>
      </c>
      <c r="H46">
        <v>42.445167379085326</v>
      </c>
      <c r="I46">
        <v>35.725896342808397</v>
      </c>
      <c r="J46">
        <v>32.475823765313983</v>
      </c>
      <c r="K46">
        <v>34.605035610647391</v>
      </c>
      <c r="L46">
        <v>39.12005868562369</v>
      </c>
      <c r="M46">
        <v>41.096526365315086</v>
      </c>
      <c r="N46">
        <v>38.862425493741775</v>
      </c>
      <c r="O46">
        <v>36.685285048521848</v>
      </c>
      <c r="P46">
        <v>48.076376348748873</v>
      </c>
      <c r="Q46">
        <v>55.634220507745191</v>
      </c>
      <c r="R46">
        <v>55.541754826900302</v>
      </c>
      <c r="S46">
        <v>48.263616257273718</v>
      </c>
      <c r="T46">
        <v>61.882966784819537</v>
      </c>
      <c r="U46">
        <v>66.13095690686329</v>
      </c>
      <c r="V46">
        <v>65.873933933169326</v>
      </c>
      <c r="W46">
        <v>76.507322154310387</v>
      </c>
      <c r="X46">
        <v>71.818355949598129</v>
      </c>
      <c r="Y46">
        <v>76.43708860299941</v>
      </c>
      <c r="Z46">
        <v>85.420703321254592</v>
      </c>
      <c r="AA46">
        <v>91.355565538030575</v>
      </c>
      <c r="AB46">
        <v>74.751992697503439</v>
      </c>
      <c r="AC46">
        <v>90.246862989291088</v>
      </c>
      <c r="AD46">
        <v>98.604462574919054</v>
      </c>
      <c r="AE46">
        <v>75.41257648235198</v>
      </c>
      <c r="AF46">
        <v>69.271895874732763</v>
      </c>
      <c r="AG46">
        <v>73.823088484392457</v>
      </c>
      <c r="AH46">
        <v>83.582266014449971</v>
      </c>
      <c r="AI46">
        <v>58.358352182763454</v>
      </c>
      <c r="AJ46">
        <v>31.937110252631751</v>
      </c>
      <c r="AK46">
        <v>42.452265671071167</v>
      </c>
      <c r="AL46">
        <v>47.407500737995882</v>
      </c>
      <c r="AM46">
        <v>38.226586665827661</v>
      </c>
      <c r="AN46">
        <v>35.601558294238288</v>
      </c>
      <c r="AO46">
        <v>36.809334503302829</v>
      </c>
      <c r="AP46">
        <v>42.718876140612338</v>
      </c>
      <c r="AQ46">
        <v>35.762368659655017</v>
      </c>
      <c r="AR46">
        <v>37.442852914270674</v>
      </c>
      <c r="AS46">
        <v>42.172760920258433</v>
      </c>
      <c r="AT46">
        <v>38.128334687085989</v>
      </c>
      <c r="AU46">
        <v>45.959606842745799</v>
      </c>
      <c r="AV46">
        <v>52.348456021815608</v>
      </c>
      <c r="AW46">
        <v>51.463354516247136</v>
      </c>
      <c r="AX46">
        <v>54.753495011768074</v>
      </c>
      <c r="AY46">
        <v>65.377585931479558</v>
      </c>
      <c r="AZ46">
        <v>61.685183450549886</v>
      </c>
      <c r="BA46">
        <v>84.282717387739709</v>
      </c>
      <c r="BB46">
        <v>96.386539998902137</v>
      </c>
      <c r="BC46">
        <v>101.9896120026709</v>
      </c>
      <c r="BD46">
        <v>94.029676325913968</v>
      </c>
      <c r="BE46">
        <v>116.07774338401849</v>
      </c>
      <c r="BF46">
        <v>122.03649051969539</v>
      </c>
      <c r="BG46">
        <v>133.70327484877728</v>
      </c>
      <c r="BH46">
        <v>151.93983354597441</v>
      </c>
      <c r="BI46">
        <v>180.09254058399699</v>
      </c>
      <c r="BJ46">
        <v>138.12255226458041</v>
      </c>
      <c r="BK46">
        <v>123.91318336802161</v>
      </c>
      <c r="BL46">
        <v>92.578159368716783</v>
      </c>
      <c r="BM46">
        <v>113.15877203081939</v>
      </c>
      <c r="BN46">
        <v>108.86250688915261</v>
      </c>
      <c r="BO46">
        <v>103.4239851259307</v>
      </c>
      <c r="BP46">
        <v>104.22998222788431</v>
      </c>
      <c r="BQ46">
        <v>104.01220126120339</v>
      </c>
      <c r="BR46">
        <v>75.688997983728157</v>
      </c>
      <c r="BS46">
        <v>104.2176531920351</v>
      </c>
      <c r="BT46">
        <v>124.4844648203858</v>
      </c>
      <c r="BU46">
        <v>119.6086945089769</v>
      </c>
      <c r="BV46">
        <v>130.5741728714797</v>
      </c>
      <c r="BW46">
        <v>151.018750927848</v>
      </c>
      <c r="BX46">
        <v>160.61444895150001</v>
      </c>
      <c r="BY46">
        <v>148.8646444856667</v>
      </c>
      <c r="BZ46">
        <v>152.727305574517</v>
      </c>
      <c r="CA46">
        <v>164.40176694922829</v>
      </c>
      <c r="CB46">
        <v>148.1460114022974</v>
      </c>
      <c r="CC46">
        <v>170.23354718959803</v>
      </c>
      <c r="CD46">
        <v>196.62228708340541</v>
      </c>
      <c r="CE46">
        <v>209.8022502139352</v>
      </c>
    </row>
    <row r="47" spans="1:83" x14ac:dyDescent="0.15">
      <c r="A47" t="s">
        <v>221</v>
      </c>
      <c r="B47" t="s">
        <v>217</v>
      </c>
      <c r="C47">
        <v>1</v>
      </c>
      <c r="D47" t="s">
        <v>218</v>
      </c>
      <c r="E47" t="s">
        <v>222</v>
      </c>
      <c r="F47" s="4" t="s">
        <v>223</v>
      </c>
      <c r="G47">
        <v>42.5758233095208</v>
      </c>
      <c r="H47">
        <v>50.660526972697298</v>
      </c>
      <c r="I47">
        <v>58.922903219563267</v>
      </c>
      <c r="J47">
        <v>65.752039748968159</v>
      </c>
      <c r="K47">
        <v>61.140593137209933</v>
      </c>
      <c r="L47">
        <v>54.803927587027694</v>
      </c>
      <c r="M47">
        <v>52.691652230843047</v>
      </c>
      <c r="N47">
        <v>57.168205509244721</v>
      </c>
      <c r="O47">
        <v>60.915901152286075</v>
      </c>
      <c r="P47">
        <v>47.018940534891968</v>
      </c>
      <c r="Q47">
        <v>40.96278811056208</v>
      </c>
      <c r="R47">
        <v>40.866396392539343</v>
      </c>
      <c r="S47">
        <v>48.426719319323965</v>
      </c>
      <c r="T47">
        <v>38.984807216653714</v>
      </c>
      <c r="U47">
        <v>37.328267363589312</v>
      </c>
      <c r="V47">
        <v>39.427292388502003</v>
      </c>
      <c r="W47">
        <v>34.622725956755637</v>
      </c>
      <c r="X47">
        <v>38.120294597877887</v>
      </c>
      <c r="Y47">
        <v>37.02708432786347</v>
      </c>
      <c r="Z47">
        <v>34.122043436365523</v>
      </c>
      <c r="AA47">
        <v>33.103396571307059</v>
      </c>
      <c r="AB47">
        <v>42.089266535065697</v>
      </c>
      <c r="AC47">
        <v>35.537094006926793</v>
      </c>
      <c r="AD47">
        <v>33.667721607037322</v>
      </c>
      <c r="AE47">
        <v>44.74322418321433</v>
      </c>
      <c r="AF47">
        <v>51.110494153950711</v>
      </c>
      <c r="AG47">
        <v>47.108246984310675</v>
      </c>
      <c r="AH47">
        <v>41.435173584672413</v>
      </c>
      <c r="AI47">
        <v>60.592631661116179</v>
      </c>
      <c r="AJ47">
        <v>96.538794414446784</v>
      </c>
      <c r="AK47">
        <v>74.191671624973893</v>
      </c>
      <c r="AL47">
        <v>63.899247791005479</v>
      </c>
      <c r="AM47">
        <v>80.369827913136859</v>
      </c>
      <c r="AN47">
        <v>84.541366001955453</v>
      </c>
      <c r="AO47">
        <v>79.03606199581003</v>
      </c>
      <c r="AP47">
        <v>64.09563378264663</v>
      </c>
      <c r="AQ47">
        <v>77.485609882532231</v>
      </c>
      <c r="AR47">
        <v>76.718532822262162</v>
      </c>
      <c r="AS47">
        <v>71.964621036637325</v>
      </c>
      <c r="AT47">
        <v>87.549854504817148</v>
      </c>
      <c r="AU47">
        <v>79.381920211676174</v>
      </c>
      <c r="AV47">
        <v>76.550340926487124</v>
      </c>
      <c r="AW47">
        <v>81.369979410396766</v>
      </c>
      <c r="AX47">
        <v>79.003216734401477</v>
      </c>
      <c r="AY47">
        <v>69.068301308780917</v>
      </c>
      <c r="AZ47">
        <v>76.154193318545836</v>
      </c>
      <c r="BA47">
        <v>55.78890927002923</v>
      </c>
      <c r="BB47">
        <v>51.721646438717585</v>
      </c>
      <c r="BC47">
        <v>49.701540368888089</v>
      </c>
      <c r="BD47">
        <v>53.480405631479641</v>
      </c>
      <c r="BE47">
        <v>42.86792079216324</v>
      </c>
      <c r="BF47">
        <v>39.946746184795799</v>
      </c>
      <c r="BG47">
        <v>34.085341871741193</v>
      </c>
      <c r="BH47">
        <v>29.690256189889041</v>
      </c>
      <c r="BI47">
        <v>25.177863358883247</v>
      </c>
      <c r="BJ47">
        <v>30.772663157157488</v>
      </c>
      <c r="BK47">
        <v>35.51326991676892</v>
      </c>
      <c r="BL47">
        <v>46.095447047461725</v>
      </c>
      <c r="BM47">
        <v>36.108016339275395</v>
      </c>
      <c r="BN47">
        <v>33.45620587632726</v>
      </c>
      <c r="BO47">
        <v>33.648122407400443</v>
      </c>
      <c r="BP47">
        <v>32.467252267748897</v>
      </c>
      <c r="BQ47">
        <v>33.385895124051871</v>
      </c>
      <c r="BR47">
        <v>53.265078224403609</v>
      </c>
      <c r="BS47">
        <v>40.715112648758542</v>
      </c>
      <c r="BT47">
        <v>35.20610690909038</v>
      </c>
      <c r="BU47">
        <v>37.082089366398783</v>
      </c>
      <c r="BV47">
        <v>34.930180505913881</v>
      </c>
      <c r="BW47">
        <v>28.376708688779161</v>
      </c>
      <c r="BX47">
        <v>27.249232797448261</v>
      </c>
      <c r="BY47">
        <v>29.96524702471006</v>
      </c>
      <c r="BZ47">
        <v>28.58636587715338</v>
      </c>
      <c r="CA47">
        <v>25.723606591036301</v>
      </c>
      <c r="CB47">
        <v>29.883756327603479</v>
      </c>
      <c r="CC47">
        <v>25.031748262736311</v>
      </c>
      <c r="CD47">
        <v>22.1573989177176</v>
      </c>
      <c r="CE47">
        <v>19.022411419459289</v>
      </c>
    </row>
    <row r="48" spans="1:83" x14ac:dyDescent="0.15">
      <c r="A48" t="s">
        <v>224</v>
      </c>
      <c r="B48" t="s">
        <v>217</v>
      </c>
      <c r="C48">
        <v>1</v>
      </c>
      <c r="D48" t="s">
        <v>218</v>
      </c>
      <c r="E48" t="s">
        <v>225</v>
      </c>
      <c r="F48" s="4" t="s">
        <v>226</v>
      </c>
      <c r="G48">
        <v>20.67573228240926</v>
      </c>
      <c r="H48">
        <v>21.502945468688033</v>
      </c>
      <c r="I48">
        <v>21.050735326394488</v>
      </c>
      <c r="J48">
        <v>21.353516550974089</v>
      </c>
      <c r="K48">
        <v>21.157724027692542</v>
      </c>
      <c r="L48">
        <v>21.439328634071952</v>
      </c>
      <c r="M48">
        <v>21.654438751368552</v>
      </c>
      <c r="N48">
        <v>22.216951272139408</v>
      </c>
      <c r="O48">
        <v>22.347171977591952</v>
      </c>
      <c r="P48">
        <v>22.605002806749098</v>
      </c>
      <c r="Q48">
        <v>22.78932786355054</v>
      </c>
      <c r="R48">
        <v>22.69791369093344</v>
      </c>
      <c r="S48">
        <v>23.372485978265559</v>
      </c>
      <c r="T48">
        <v>24.124955301007741</v>
      </c>
      <c r="U48">
        <v>24.68554040429396</v>
      </c>
      <c r="V48">
        <v>25.9723085396393</v>
      </c>
      <c r="W48">
        <v>26.488920486339079</v>
      </c>
      <c r="X48">
        <v>27.377368863339367</v>
      </c>
      <c r="Y48">
        <v>28.302425254796301</v>
      </c>
      <c r="Z48">
        <v>29.14728949092742</v>
      </c>
      <c r="AA48">
        <v>30.241795150014593</v>
      </c>
      <c r="AB48">
        <v>31.462565446725073</v>
      </c>
      <c r="AC48">
        <v>32.071112538806794</v>
      </c>
      <c r="AD48">
        <v>33.197875951839045</v>
      </c>
      <c r="AE48">
        <v>33.742018157836718</v>
      </c>
      <c r="AF48">
        <v>35.405208291386117</v>
      </c>
      <c r="AG48">
        <v>34.776762854673798</v>
      </c>
      <c r="AH48">
        <v>34.632457009089997</v>
      </c>
      <c r="AI48">
        <v>35.360861381598824</v>
      </c>
      <c r="AJ48">
        <v>30.831701208703368</v>
      </c>
      <c r="AK48">
        <v>31.496045544042641</v>
      </c>
      <c r="AL48">
        <v>30.293036368094739</v>
      </c>
      <c r="AM48">
        <v>30.722641920391808</v>
      </c>
      <c r="AN48">
        <v>30.09804369993152</v>
      </c>
      <c r="AO48">
        <v>29.092648438275511</v>
      </c>
      <c r="AP48">
        <v>27.380934407149287</v>
      </c>
      <c r="AQ48">
        <v>27.71068946437326</v>
      </c>
      <c r="AR48">
        <v>28.725607402626089</v>
      </c>
      <c r="AS48">
        <v>30.34946757695106</v>
      </c>
      <c r="AT48">
        <v>33.381301543653521</v>
      </c>
      <c r="AU48">
        <v>36.483618433508525</v>
      </c>
      <c r="AV48">
        <v>40.072921554452037</v>
      </c>
      <c r="AW48">
        <v>41.875720973769795</v>
      </c>
      <c r="AX48">
        <v>43.25702233380683</v>
      </c>
      <c r="AY48">
        <v>45.155188039561473</v>
      </c>
      <c r="AZ48">
        <v>46.975853853831403</v>
      </c>
      <c r="BA48">
        <v>47.020408733761265</v>
      </c>
      <c r="BB48">
        <v>49.852705432745275</v>
      </c>
      <c r="BC48">
        <v>50.690408181579805</v>
      </c>
      <c r="BD48">
        <v>50.287452313066169</v>
      </c>
      <c r="BE48">
        <v>49.760115091191551</v>
      </c>
      <c r="BF48">
        <v>48.749607120735106</v>
      </c>
      <c r="BG48">
        <v>45.57321832591952</v>
      </c>
      <c r="BH48">
        <v>45.111325834290767</v>
      </c>
      <c r="BI48">
        <v>45.343453787780142</v>
      </c>
      <c r="BJ48">
        <v>42.503987752448118</v>
      </c>
      <c r="BK48">
        <v>44.005623271946327</v>
      </c>
      <c r="BL48">
        <v>42.674316429321586</v>
      </c>
      <c r="BM48">
        <v>40.859387894211672</v>
      </c>
      <c r="BN48">
        <v>36.421264426965834</v>
      </c>
      <c r="BO48">
        <v>34.800229113784781</v>
      </c>
      <c r="BP48">
        <v>33.840611268557033</v>
      </c>
      <c r="BQ48">
        <v>34.725404429283138</v>
      </c>
      <c r="BR48">
        <v>40.315803983300071</v>
      </c>
      <c r="BS48">
        <v>42.432334897029605</v>
      </c>
      <c r="BT48">
        <v>43.826133769874005</v>
      </c>
      <c r="BU48">
        <v>44.353402987801722</v>
      </c>
      <c r="BV48">
        <v>45.609794278111885</v>
      </c>
      <c r="BW48">
        <v>42.8541510162284</v>
      </c>
      <c r="BX48">
        <v>43.766205101132918</v>
      </c>
      <c r="BY48">
        <v>44.607658452586463</v>
      </c>
      <c r="BZ48">
        <v>43.659186365849486</v>
      </c>
      <c r="CA48">
        <v>42.29006375873184</v>
      </c>
      <c r="CB48">
        <v>44.271593056526235</v>
      </c>
      <c r="CC48">
        <v>42.612432991226576</v>
      </c>
      <c r="CD48">
        <v>43.566384510210064</v>
      </c>
      <c r="CE48">
        <v>39.909447202978157</v>
      </c>
    </row>
    <row r="49" spans="1:84" x14ac:dyDescent="0.15">
      <c r="A49" t="s">
        <v>227</v>
      </c>
      <c r="B49" t="s">
        <v>86</v>
      </c>
      <c r="C49">
        <v>1000000</v>
      </c>
      <c r="D49" t="s">
        <v>87</v>
      </c>
      <c r="E49" t="s">
        <v>228</v>
      </c>
      <c r="F49" s="4" t="s">
        <v>229</v>
      </c>
      <c r="G49">
        <v>193195</v>
      </c>
      <c r="H49">
        <v>210834</v>
      </c>
      <c r="I49">
        <v>237210</v>
      </c>
      <c r="J49">
        <v>258428</v>
      </c>
      <c r="K49">
        <v>267479</v>
      </c>
      <c r="L49">
        <v>303863</v>
      </c>
      <c r="M49">
        <v>334455</v>
      </c>
      <c r="N49">
        <v>354026</v>
      </c>
      <c r="O49">
        <v>373515</v>
      </c>
      <c r="P49">
        <v>390017</v>
      </c>
      <c r="Q49">
        <v>429970</v>
      </c>
      <c r="R49">
        <v>462993</v>
      </c>
      <c r="S49">
        <v>490510</v>
      </c>
      <c r="T49">
        <v>517491</v>
      </c>
      <c r="U49">
        <v>556646</v>
      </c>
      <c r="V49">
        <v>582501</v>
      </c>
      <c r="W49">
        <v>617517</v>
      </c>
      <c r="X49">
        <v>655341</v>
      </c>
      <c r="Y49">
        <v>698130</v>
      </c>
      <c r="Z49">
        <v>743371</v>
      </c>
      <c r="AA49">
        <v>816900</v>
      </c>
      <c r="AB49">
        <v>886912</v>
      </c>
      <c r="AC49">
        <v>952646</v>
      </c>
      <c r="AD49">
        <v>1038879</v>
      </c>
      <c r="AE49">
        <v>1141194</v>
      </c>
      <c r="AF49">
        <v>1213316</v>
      </c>
      <c r="AG49">
        <v>1304692</v>
      </c>
      <c r="AH49">
        <v>1450739</v>
      </c>
      <c r="AI49">
        <v>1633129</v>
      </c>
      <c r="AJ49">
        <v>1807107</v>
      </c>
      <c r="AK49">
        <v>2029823</v>
      </c>
      <c r="AL49">
        <v>2228835</v>
      </c>
      <c r="AM49">
        <v>2469110</v>
      </c>
      <c r="AN49">
        <v>2786673</v>
      </c>
      <c r="AO49">
        <v>3183799</v>
      </c>
      <c r="AP49">
        <v>3551895</v>
      </c>
      <c r="AQ49">
        <v>4004054</v>
      </c>
      <c r="AR49">
        <v>4283659</v>
      </c>
      <c r="AS49">
        <v>4644902</v>
      </c>
      <c r="AT49">
        <v>5186169</v>
      </c>
      <c r="AU49">
        <v>5709439</v>
      </c>
      <c r="AV49">
        <v>6046021</v>
      </c>
      <c r="AW49">
        <v>6492616</v>
      </c>
      <c r="AX49">
        <v>7097343</v>
      </c>
      <c r="AY49">
        <v>7539376</v>
      </c>
      <c r="AZ49">
        <v>7951196</v>
      </c>
      <c r="BA49">
        <v>8244644</v>
      </c>
      <c r="BB49">
        <v>8614156</v>
      </c>
      <c r="BC49">
        <v>9204221</v>
      </c>
      <c r="BD49">
        <v>9757392</v>
      </c>
      <c r="BE49">
        <v>10550827</v>
      </c>
      <c r="BF49">
        <v>11385549</v>
      </c>
      <c r="BG49">
        <v>12099487</v>
      </c>
      <c r="BH49">
        <v>13494626</v>
      </c>
      <c r="BI49">
        <v>15199301</v>
      </c>
      <c r="BJ49">
        <v>17372606</v>
      </c>
      <c r="BK49">
        <v>17787016</v>
      </c>
      <c r="BL49">
        <v>18071165</v>
      </c>
      <c r="BM49">
        <v>18489016</v>
      </c>
      <c r="BN49">
        <v>19673995</v>
      </c>
      <c r="BO49">
        <v>21119204</v>
      </c>
      <c r="BP49">
        <v>22426546</v>
      </c>
      <c r="BQ49">
        <v>24070226</v>
      </c>
      <c r="BR49">
        <v>23675250</v>
      </c>
      <c r="BS49">
        <v>24153220</v>
      </c>
      <c r="BT49">
        <v>23305478</v>
      </c>
      <c r="BU49">
        <v>24185336</v>
      </c>
      <c r="BV49">
        <v>25208764</v>
      </c>
      <c r="BW49">
        <v>26799283</v>
      </c>
      <c r="BX49">
        <v>28304248</v>
      </c>
      <c r="BY49">
        <v>30015712</v>
      </c>
      <c r="BZ49">
        <v>31598658</v>
      </c>
      <c r="CA49">
        <v>33049708</v>
      </c>
      <c r="CB49">
        <v>34888594</v>
      </c>
      <c r="CC49">
        <v>39080432</v>
      </c>
      <c r="CD49">
        <v>40069563</v>
      </c>
      <c r="CE49">
        <v>42927052</v>
      </c>
    </row>
    <row r="50" spans="1:84" x14ac:dyDescent="0.15">
      <c r="A50" t="s">
        <v>230</v>
      </c>
      <c r="B50" t="s">
        <v>86</v>
      </c>
      <c r="C50">
        <v>1000000</v>
      </c>
      <c r="D50" t="s">
        <v>87</v>
      </c>
      <c r="E50" t="s">
        <v>231</v>
      </c>
      <c r="F50" s="4" t="s">
        <v>232</v>
      </c>
      <c r="G50">
        <v>124426</v>
      </c>
      <c r="H50">
        <v>143670</v>
      </c>
      <c r="I50">
        <v>161321</v>
      </c>
      <c r="J50">
        <v>177062</v>
      </c>
      <c r="K50">
        <v>182211</v>
      </c>
      <c r="L50">
        <v>201811</v>
      </c>
      <c r="M50">
        <v>224376</v>
      </c>
      <c r="N50">
        <v>238529</v>
      </c>
      <c r="O50">
        <v>254981</v>
      </c>
      <c r="P50">
        <v>265985</v>
      </c>
      <c r="Q50">
        <v>288556</v>
      </c>
      <c r="R50">
        <v>316548</v>
      </c>
      <c r="S50">
        <v>339504</v>
      </c>
      <c r="T50">
        <v>354955</v>
      </c>
      <c r="U50">
        <v>379011</v>
      </c>
      <c r="V50">
        <v>402024</v>
      </c>
      <c r="W50">
        <v>424395</v>
      </c>
      <c r="X50">
        <v>450255</v>
      </c>
      <c r="Y50">
        <v>477699</v>
      </c>
      <c r="Z50">
        <v>508422</v>
      </c>
      <c r="AA50">
        <v>554554</v>
      </c>
      <c r="AB50">
        <v>610208</v>
      </c>
      <c r="AC50">
        <v>658194</v>
      </c>
      <c r="AD50">
        <v>711389</v>
      </c>
      <c r="AE50">
        <v>779535</v>
      </c>
      <c r="AF50">
        <v>830265</v>
      </c>
      <c r="AG50">
        <v>880086</v>
      </c>
      <c r="AH50">
        <v>957758</v>
      </c>
      <c r="AI50">
        <v>1062147</v>
      </c>
      <c r="AJ50">
        <v>1191790</v>
      </c>
      <c r="AK50">
        <v>1256476</v>
      </c>
      <c r="AL50">
        <v>1365772</v>
      </c>
      <c r="AM50">
        <v>1504976</v>
      </c>
      <c r="AN50">
        <v>1687849</v>
      </c>
      <c r="AO50">
        <v>1906255</v>
      </c>
      <c r="AP50">
        <v>2107325</v>
      </c>
      <c r="AQ50">
        <v>2365911</v>
      </c>
      <c r="AR50">
        <v>2534905</v>
      </c>
      <c r="AS50">
        <v>2718536</v>
      </c>
      <c r="AT50">
        <v>2985567</v>
      </c>
      <c r="AU50">
        <v>3238590</v>
      </c>
      <c r="AV50">
        <v>3406277</v>
      </c>
      <c r="AW50">
        <v>3622094</v>
      </c>
      <c r="AX50">
        <v>3847223</v>
      </c>
      <c r="AY50">
        <v>4060481</v>
      </c>
      <c r="AZ50">
        <v>4363685</v>
      </c>
      <c r="BA50">
        <v>4530060</v>
      </c>
      <c r="BB50">
        <v>4734978</v>
      </c>
      <c r="BC50">
        <v>4975308</v>
      </c>
      <c r="BD50">
        <v>5257116</v>
      </c>
      <c r="BE50">
        <v>5569089</v>
      </c>
      <c r="BF50">
        <v>5904163</v>
      </c>
      <c r="BG50">
        <v>6268168</v>
      </c>
      <c r="BH50">
        <v>6653300</v>
      </c>
      <c r="BI50">
        <v>7082892</v>
      </c>
      <c r="BJ50">
        <v>7580852</v>
      </c>
      <c r="BK50">
        <v>7864575</v>
      </c>
      <c r="BL50">
        <v>8090398</v>
      </c>
      <c r="BM50">
        <v>8328139</v>
      </c>
      <c r="BN50">
        <v>8688946</v>
      </c>
      <c r="BO50">
        <v>9166684</v>
      </c>
      <c r="BP50">
        <v>9711790</v>
      </c>
      <c r="BQ50">
        <v>10262537</v>
      </c>
      <c r="BR50">
        <v>10699292</v>
      </c>
      <c r="BS50">
        <v>10777998</v>
      </c>
      <c r="BT50">
        <v>11150253</v>
      </c>
      <c r="BU50">
        <v>11662509</v>
      </c>
      <c r="BV50">
        <v>12233563</v>
      </c>
      <c r="BW50">
        <v>12783597</v>
      </c>
      <c r="BX50">
        <v>13446587</v>
      </c>
      <c r="BY50">
        <v>14036835</v>
      </c>
      <c r="BZ50">
        <v>14515424</v>
      </c>
      <c r="CA50">
        <v>15060338</v>
      </c>
      <c r="CB50">
        <v>15776056</v>
      </c>
      <c r="CC50">
        <v>16598503</v>
      </c>
      <c r="CD50">
        <v>16758903</v>
      </c>
      <c r="CE50">
        <v>17569996</v>
      </c>
    </row>
    <row r="51" spans="1:84" x14ac:dyDescent="0.15">
      <c r="A51" t="s">
        <v>233</v>
      </c>
      <c r="B51" t="s">
        <v>86</v>
      </c>
      <c r="C51">
        <v>1000000</v>
      </c>
      <c r="D51" t="s">
        <v>87</v>
      </c>
      <c r="E51" t="s">
        <v>234</v>
      </c>
      <c r="F51" s="4" t="s">
        <v>235</v>
      </c>
      <c r="G51">
        <v>66535</v>
      </c>
      <c r="H51">
        <v>70215</v>
      </c>
      <c r="I51">
        <v>74185</v>
      </c>
      <c r="J51">
        <v>79060</v>
      </c>
      <c r="K51">
        <v>83299</v>
      </c>
      <c r="L51">
        <v>88177</v>
      </c>
      <c r="M51">
        <v>94618</v>
      </c>
      <c r="N51">
        <v>100793</v>
      </c>
      <c r="O51">
        <v>108420</v>
      </c>
      <c r="P51">
        <v>115182</v>
      </c>
      <c r="Q51">
        <v>123139</v>
      </c>
      <c r="R51">
        <v>133715</v>
      </c>
      <c r="S51">
        <v>144086</v>
      </c>
      <c r="T51">
        <v>153411</v>
      </c>
      <c r="U51">
        <v>162745</v>
      </c>
      <c r="V51">
        <v>173027</v>
      </c>
      <c r="W51">
        <v>183488</v>
      </c>
      <c r="X51">
        <v>193921</v>
      </c>
      <c r="Y51">
        <v>204294</v>
      </c>
      <c r="Z51">
        <v>215792</v>
      </c>
      <c r="AA51">
        <v>230969</v>
      </c>
      <c r="AB51">
        <v>248227</v>
      </c>
      <c r="AC51">
        <v>265346</v>
      </c>
      <c r="AD51">
        <v>282744</v>
      </c>
      <c r="AE51">
        <v>304836</v>
      </c>
      <c r="AF51">
        <v>325860</v>
      </c>
      <c r="AG51">
        <v>347299</v>
      </c>
      <c r="AH51">
        <v>372735</v>
      </c>
      <c r="AI51">
        <v>403613</v>
      </c>
      <c r="AJ51">
        <v>437356</v>
      </c>
      <c r="AK51">
        <v>467854</v>
      </c>
      <c r="AL51">
        <v>501365</v>
      </c>
      <c r="AM51">
        <v>540150</v>
      </c>
      <c r="AN51">
        <v>591790</v>
      </c>
      <c r="AO51">
        <v>656696</v>
      </c>
      <c r="AP51">
        <v>732895</v>
      </c>
      <c r="AQ51">
        <v>824854</v>
      </c>
      <c r="AR51">
        <v>914078</v>
      </c>
      <c r="AS51">
        <v>986648</v>
      </c>
      <c r="AT51">
        <v>1073591</v>
      </c>
      <c r="AU51">
        <v>1171266</v>
      </c>
      <c r="AV51">
        <v>1244656</v>
      </c>
      <c r="AW51">
        <v>1316016</v>
      </c>
      <c r="AX51">
        <v>1397752</v>
      </c>
      <c r="AY51">
        <v>1478663</v>
      </c>
      <c r="AZ51">
        <v>1664029</v>
      </c>
      <c r="BA51">
        <v>1741641</v>
      </c>
      <c r="BB51">
        <v>1805198</v>
      </c>
      <c r="BC51">
        <v>1879614</v>
      </c>
      <c r="BD51">
        <v>1955399</v>
      </c>
      <c r="BE51">
        <v>2044052</v>
      </c>
      <c r="BF51">
        <v>2138833</v>
      </c>
      <c r="BG51">
        <v>2244727</v>
      </c>
      <c r="BH51">
        <v>2369035</v>
      </c>
      <c r="BI51">
        <v>2488805</v>
      </c>
      <c r="BJ51">
        <v>2641546</v>
      </c>
      <c r="BK51">
        <v>2805199</v>
      </c>
      <c r="BL51">
        <v>2917345</v>
      </c>
      <c r="BM51">
        <v>3022015</v>
      </c>
      <c r="BN51">
        <v>3139871</v>
      </c>
      <c r="BO51">
        <v>3305526</v>
      </c>
      <c r="BP51">
        <v>3519817</v>
      </c>
      <c r="BQ51">
        <v>3780110</v>
      </c>
      <c r="BR51">
        <v>4047595</v>
      </c>
      <c r="BS51">
        <v>4223108</v>
      </c>
      <c r="BT51">
        <v>4397367</v>
      </c>
      <c r="BU51">
        <v>4571880</v>
      </c>
      <c r="BV51">
        <v>4781589</v>
      </c>
      <c r="BW51">
        <v>4997099</v>
      </c>
      <c r="BX51">
        <v>5279512</v>
      </c>
      <c r="BY51">
        <v>5539475</v>
      </c>
      <c r="BZ51">
        <v>5763148</v>
      </c>
      <c r="CA51">
        <v>5986173</v>
      </c>
      <c r="CB51">
        <v>6256860</v>
      </c>
      <c r="CC51">
        <v>6597198</v>
      </c>
      <c r="CD51">
        <v>6704876</v>
      </c>
      <c r="CE51">
        <v>6847712</v>
      </c>
    </row>
    <row r="52" spans="1:84" x14ac:dyDescent="0.15">
      <c r="A52" t="s">
        <v>236</v>
      </c>
      <c r="B52" t="s">
        <v>86</v>
      </c>
      <c r="C52">
        <v>1000000</v>
      </c>
      <c r="D52" t="s">
        <v>87</v>
      </c>
      <c r="E52" t="s">
        <v>237</v>
      </c>
      <c r="F52" s="4" t="s">
        <v>238</v>
      </c>
      <c r="G52">
        <v>26895</v>
      </c>
      <c r="H52">
        <v>30534</v>
      </c>
      <c r="I52">
        <v>36452</v>
      </c>
      <c r="J52">
        <v>42436</v>
      </c>
      <c r="K52">
        <v>46429</v>
      </c>
      <c r="L52">
        <v>50819</v>
      </c>
      <c r="M52">
        <v>56603</v>
      </c>
      <c r="N52">
        <v>62362</v>
      </c>
      <c r="O52">
        <v>68431</v>
      </c>
      <c r="P52">
        <v>73317</v>
      </c>
      <c r="Q52">
        <v>79048</v>
      </c>
      <c r="R52">
        <v>86911</v>
      </c>
      <c r="S52">
        <v>95927</v>
      </c>
      <c r="T52">
        <v>100777</v>
      </c>
      <c r="U52">
        <v>107057</v>
      </c>
      <c r="V52">
        <v>114640</v>
      </c>
      <c r="W52">
        <v>120985</v>
      </c>
      <c r="X52">
        <v>128843</v>
      </c>
      <c r="Y52">
        <v>137362</v>
      </c>
      <c r="Z52">
        <v>147853</v>
      </c>
      <c r="AA52">
        <v>162393</v>
      </c>
      <c r="AB52">
        <v>180752</v>
      </c>
      <c r="AC52">
        <v>197335</v>
      </c>
      <c r="AD52">
        <v>215745</v>
      </c>
      <c r="AE52">
        <v>236565</v>
      </c>
      <c r="AF52">
        <v>255141</v>
      </c>
      <c r="AG52">
        <v>272634</v>
      </c>
      <c r="AH52">
        <v>294833</v>
      </c>
      <c r="AI52">
        <v>324994</v>
      </c>
      <c r="AJ52">
        <v>359194</v>
      </c>
      <c r="AK52">
        <v>390232</v>
      </c>
      <c r="AL52">
        <v>427244</v>
      </c>
      <c r="AM52">
        <v>479667</v>
      </c>
      <c r="AN52">
        <v>546499</v>
      </c>
      <c r="AO52">
        <v>624412</v>
      </c>
      <c r="AP52">
        <v>699435</v>
      </c>
      <c r="AQ52">
        <v>781886</v>
      </c>
      <c r="AR52">
        <v>847446</v>
      </c>
      <c r="AS52">
        <v>908841</v>
      </c>
      <c r="AT52">
        <v>991623</v>
      </c>
      <c r="AU52">
        <v>1070707</v>
      </c>
      <c r="AV52">
        <v>1138056</v>
      </c>
      <c r="AW52">
        <v>1193995</v>
      </c>
      <c r="AX52">
        <v>1258002</v>
      </c>
      <c r="AY52">
        <v>1328761</v>
      </c>
      <c r="AZ52">
        <v>1399735</v>
      </c>
      <c r="BA52">
        <v>1460108</v>
      </c>
      <c r="BB52">
        <v>1530640</v>
      </c>
      <c r="BC52">
        <v>1622438</v>
      </c>
      <c r="BD52">
        <v>1737163</v>
      </c>
      <c r="BE52">
        <v>1878044</v>
      </c>
      <c r="BF52">
        <v>2024648</v>
      </c>
      <c r="BG52">
        <v>2181187</v>
      </c>
      <c r="BH52">
        <v>2334157</v>
      </c>
      <c r="BI52">
        <v>2499812</v>
      </c>
      <c r="BJ52">
        <v>2680231</v>
      </c>
      <c r="BK52">
        <v>2788446</v>
      </c>
      <c r="BL52">
        <v>2833220</v>
      </c>
      <c r="BM52">
        <v>2881694</v>
      </c>
      <c r="BN52">
        <v>2954068</v>
      </c>
      <c r="BO52">
        <v>3068660</v>
      </c>
      <c r="BP52">
        <v>3225544</v>
      </c>
      <c r="BQ52">
        <v>3379990</v>
      </c>
      <c r="BR52">
        <v>3497647</v>
      </c>
      <c r="BS52">
        <v>3485049</v>
      </c>
      <c r="BT52">
        <v>3555984</v>
      </c>
      <c r="BU52">
        <v>3695178</v>
      </c>
      <c r="BV52">
        <v>3876195</v>
      </c>
      <c r="BW52">
        <v>4051316</v>
      </c>
      <c r="BX52">
        <v>4245594</v>
      </c>
      <c r="BY52">
        <v>4427094</v>
      </c>
      <c r="BZ52">
        <v>4555474</v>
      </c>
      <c r="CA52">
        <v>4695944</v>
      </c>
      <c r="CB52">
        <v>4875447</v>
      </c>
      <c r="CC52">
        <v>5058891</v>
      </c>
      <c r="CD52">
        <v>5145823</v>
      </c>
      <c r="CE52">
        <v>5296367</v>
      </c>
    </row>
    <row r="53" spans="1:84" x14ac:dyDescent="0.15">
      <c r="A53" t="s">
        <v>239</v>
      </c>
      <c r="B53" t="s">
        <v>86</v>
      </c>
      <c r="C53">
        <v>1000000</v>
      </c>
      <c r="D53" t="s">
        <v>87</v>
      </c>
      <c r="E53" t="s">
        <v>240</v>
      </c>
      <c r="F53" s="4" t="s">
        <v>241</v>
      </c>
      <c r="G53">
        <v>4744</v>
      </c>
      <c r="H53">
        <v>5393</v>
      </c>
      <c r="I53">
        <v>6083</v>
      </c>
      <c r="J53">
        <v>6702</v>
      </c>
      <c r="K53">
        <v>7145</v>
      </c>
      <c r="L53">
        <v>7719</v>
      </c>
      <c r="M53">
        <v>8327</v>
      </c>
      <c r="N53">
        <v>9339</v>
      </c>
      <c r="O53">
        <v>10712</v>
      </c>
      <c r="P53">
        <v>12015</v>
      </c>
      <c r="Q53">
        <v>13402</v>
      </c>
      <c r="R53">
        <v>15333</v>
      </c>
      <c r="S53">
        <v>17147</v>
      </c>
      <c r="T53">
        <v>18879</v>
      </c>
      <c r="U53">
        <v>20761</v>
      </c>
      <c r="V53">
        <v>22731</v>
      </c>
      <c r="W53">
        <v>24875</v>
      </c>
      <c r="X53">
        <v>26935</v>
      </c>
      <c r="Y53">
        <v>29289</v>
      </c>
      <c r="Z53">
        <v>31637</v>
      </c>
      <c r="AA53">
        <v>34608</v>
      </c>
      <c r="AB53">
        <v>38391</v>
      </c>
      <c r="AC53">
        <v>42432</v>
      </c>
      <c r="AD53">
        <v>46908</v>
      </c>
      <c r="AE53">
        <v>51715</v>
      </c>
      <c r="AF53">
        <v>55969</v>
      </c>
      <c r="AG53">
        <v>59798</v>
      </c>
      <c r="AH53">
        <v>64468</v>
      </c>
      <c r="AI53">
        <v>69641</v>
      </c>
      <c r="AJ53">
        <v>75714</v>
      </c>
      <c r="AK53">
        <v>81934</v>
      </c>
      <c r="AL53">
        <v>90219</v>
      </c>
      <c r="AM53">
        <v>100124</v>
      </c>
      <c r="AN53">
        <v>111133</v>
      </c>
      <c r="AO53">
        <v>125509</v>
      </c>
      <c r="AP53">
        <v>141693</v>
      </c>
      <c r="AQ53">
        <v>162639</v>
      </c>
      <c r="AR53">
        <v>185449</v>
      </c>
      <c r="AS53">
        <v>210200</v>
      </c>
      <c r="AT53">
        <v>240422</v>
      </c>
      <c r="AU53">
        <v>271824</v>
      </c>
      <c r="AV53">
        <v>302088</v>
      </c>
      <c r="AW53">
        <v>329477</v>
      </c>
      <c r="AX53">
        <v>356524</v>
      </c>
      <c r="AY53">
        <v>389167</v>
      </c>
      <c r="AZ53">
        <v>424557</v>
      </c>
      <c r="BA53">
        <v>461554</v>
      </c>
      <c r="BB53">
        <v>496606</v>
      </c>
      <c r="BC53">
        <v>532618</v>
      </c>
      <c r="BD53">
        <v>568568</v>
      </c>
      <c r="BE53">
        <v>615493</v>
      </c>
      <c r="BF53">
        <v>672993</v>
      </c>
      <c r="BG53">
        <v>743253</v>
      </c>
      <c r="BH53">
        <v>812808</v>
      </c>
      <c r="BI53">
        <v>895441</v>
      </c>
      <c r="BJ53">
        <v>988924</v>
      </c>
      <c r="BK53">
        <v>1061382</v>
      </c>
      <c r="BL53">
        <v>1108217</v>
      </c>
      <c r="BM53">
        <v>1155201</v>
      </c>
      <c r="BN53">
        <v>1205387</v>
      </c>
      <c r="BO53">
        <v>1273185</v>
      </c>
      <c r="BP53">
        <v>1352272</v>
      </c>
      <c r="BQ53">
        <v>1438851</v>
      </c>
      <c r="BR53">
        <v>1524530</v>
      </c>
      <c r="BS53">
        <v>1577102</v>
      </c>
      <c r="BT53">
        <v>1637370</v>
      </c>
      <c r="BU53">
        <v>1714066</v>
      </c>
      <c r="BV53">
        <v>1790524</v>
      </c>
      <c r="BW53">
        <v>1875322</v>
      </c>
      <c r="BX53">
        <v>1970797</v>
      </c>
      <c r="BY53">
        <v>2062514</v>
      </c>
      <c r="BZ53">
        <v>2168995</v>
      </c>
      <c r="CA53">
        <v>2288430</v>
      </c>
      <c r="CB53">
        <v>2435377</v>
      </c>
      <c r="CC53">
        <v>2592859</v>
      </c>
      <c r="CD53">
        <v>2743916</v>
      </c>
      <c r="CE53">
        <v>2939267</v>
      </c>
    </row>
    <row r="54" spans="1:84" x14ac:dyDescent="0.15">
      <c r="A54" t="s">
        <v>242</v>
      </c>
      <c r="B54" t="s">
        <v>86</v>
      </c>
      <c r="C54">
        <v>1000000</v>
      </c>
      <c r="D54" t="s">
        <v>87</v>
      </c>
      <c r="E54" t="s">
        <v>243</v>
      </c>
      <c r="F54" s="4" t="s">
        <v>244</v>
      </c>
      <c r="G54">
        <v>26252</v>
      </c>
      <c r="H54">
        <v>37528</v>
      </c>
      <c r="I54">
        <v>44601</v>
      </c>
      <c r="J54">
        <v>48864</v>
      </c>
      <c r="K54">
        <v>45338</v>
      </c>
      <c r="L54">
        <v>55096</v>
      </c>
      <c r="M54">
        <v>64828</v>
      </c>
      <c r="N54">
        <v>66035</v>
      </c>
      <c r="O54">
        <v>67418</v>
      </c>
      <c r="P54">
        <v>65471</v>
      </c>
      <c r="Q54">
        <v>72967</v>
      </c>
      <c r="R54">
        <v>80589</v>
      </c>
      <c r="S54">
        <v>82344</v>
      </c>
      <c r="T54">
        <v>81888</v>
      </c>
      <c r="U54">
        <v>88448</v>
      </c>
      <c r="V54">
        <v>91626</v>
      </c>
      <c r="W54">
        <v>95047</v>
      </c>
      <c r="X54">
        <v>100556</v>
      </c>
      <c r="Y54">
        <v>106754</v>
      </c>
      <c r="Z54">
        <v>113140</v>
      </c>
      <c r="AA54">
        <v>126584</v>
      </c>
      <c r="AB54">
        <v>142838</v>
      </c>
      <c r="AC54">
        <v>153081</v>
      </c>
      <c r="AD54">
        <v>165992</v>
      </c>
      <c r="AE54">
        <v>186419</v>
      </c>
      <c r="AF54">
        <v>193295</v>
      </c>
      <c r="AG54">
        <v>200355</v>
      </c>
      <c r="AH54">
        <v>225722</v>
      </c>
      <c r="AI54">
        <v>263899</v>
      </c>
      <c r="AJ54">
        <v>319526</v>
      </c>
      <c r="AK54">
        <v>316456</v>
      </c>
      <c r="AL54">
        <v>346944</v>
      </c>
      <c r="AM54">
        <v>385035</v>
      </c>
      <c r="AN54">
        <v>438427</v>
      </c>
      <c r="AO54">
        <v>499638</v>
      </c>
      <c r="AP54">
        <v>533302</v>
      </c>
      <c r="AQ54">
        <v>596532</v>
      </c>
      <c r="AR54">
        <v>587932</v>
      </c>
      <c r="AS54">
        <v>612847</v>
      </c>
      <c r="AT54">
        <v>679931</v>
      </c>
      <c r="AU54">
        <v>724793</v>
      </c>
      <c r="AV54">
        <v>721477</v>
      </c>
      <c r="AW54">
        <v>782606</v>
      </c>
      <c r="AX54">
        <v>834945</v>
      </c>
      <c r="AY54">
        <v>863890</v>
      </c>
      <c r="AZ54">
        <v>875364</v>
      </c>
      <c r="BA54">
        <v>866757</v>
      </c>
      <c r="BB54">
        <v>902534</v>
      </c>
      <c r="BC54">
        <v>940638</v>
      </c>
      <c r="BD54">
        <v>995986</v>
      </c>
      <c r="BE54">
        <v>1031500</v>
      </c>
      <c r="BF54">
        <v>1067689</v>
      </c>
      <c r="BG54">
        <v>1099001</v>
      </c>
      <c r="BH54">
        <v>1137300</v>
      </c>
      <c r="BI54">
        <v>1198834</v>
      </c>
      <c r="BJ54">
        <v>1270151</v>
      </c>
      <c r="BK54">
        <v>1209548</v>
      </c>
      <c r="BL54">
        <v>1231616</v>
      </c>
      <c r="BM54">
        <v>1269229</v>
      </c>
      <c r="BN54">
        <v>1389620</v>
      </c>
      <c r="BO54">
        <v>1519313</v>
      </c>
      <c r="BP54">
        <v>1614157</v>
      </c>
      <c r="BQ54">
        <v>1663586</v>
      </c>
      <c r="BR54">
        <v>1629520</v>
      </c>
      <c r="BS54">
        <v>1492739</v>
      </c>
      <c r="BT54">
        <v>1559532</v>
      </c>
      <c r="BU54">
        <v>1681385</v>
      </c>
      <c r="BV54">
        <v>1785255</v>
      </c>
      <c r="BW54">
        <v>1859860</v>
      </c>
      <c r="BX54">
        <v>1950684</v>
      </c>
      <c r="BY54">
        <v>2007752</v>
      </c>
      <c r="BZ54">
        <v>2027807</v>
      </c>
      <c r="CA54">
        <v>2089791</v>
      </c>
      <c r="CB54">
        <v>2208372</v>
      </c>
      <c r="CC54">
        <v>2349555</v>
      </c>
      <c r="CD54">
        <v>2164288</v>
      </c>
      <c r="CE54">
        <v>2486650</v>
      </c>
    </row>
    <row r="55" spans="1:84" x14ac:dyDescent="0.15">
      <c r="A55" t="s">
        <v>245</v>
      </c>
      <c r="B55" t="s">
        <v>86</v>
      </c>
      <c r="C55">
        <v>1000000</v>
      </c>
      <c r="D55" t="s">
        <v>87</v>
      </c>
      <c r="E55" t="s">
        <v>246</v>
      </c>
      <c r="F55" s="4" t="s">
        <v>247</v>
      </c>
      <c r="G55">
        <v>123007</v>
      </c>
      <c r="H55">
        <v>130674</v>
      </c>
      <c r="I55">
        <v>144215</v>
      </c>
      <c r="J55">
        <v>156592</v>
      </c>
      <c r="K55">
        <v>166393</v>
      </c>
      <c r="L55">
        <v>180217</v>
      </c>
      <c r="M55">
        <v>198013</v>
      </c>
      <c r="N55">
        <v>212795</v>
      </c>
      <c r="O55">
        <v>227417</v>
      </c>
      <c r="P55">
        <v>240743</v>
      </c>
      <c r="Q55">
        <v>258696</v>
      </c>
      <c r="R55">
        <v>279492</v>
      </c>
      <c r="S55">
        <v>297643</v>
      </c>
      <c r="T55">
        <v>315090</v>
      </c>
      <c r="U55">
        <v>337487</v>
      </c>
      <c r="V55">
        <v>352926</v>
      </c>
      <c r="W55">
        <v>375406</v>
      </c>
      <c r="X55">
        <v>397962</v>
      </c>
      <c r="Y55">
        <v>420273</v>
      </c>
      <c r="Z55">
        <v>443350</v>
      </c>
      <c r="AA55">
        <v>481689</v>
      </c>
      <c r="AB55">
        <v>517739</v>
      </c>
      <c r="AC55">
        <v>555631</v>
      </c>
      <c r="AD55">
        <v>592888</v>
      </c>
      <c r="AE55">
        <v>640785</v>
      </c>
      <c r="AF55">
        <v>673693</v>
      </c>
      <c r="AG55">
        <v>719382</v>
      </c>
      <c r="AH55">
        <v>801200</v>
      </c>
      <c r="AI55">
        <v>872376</v>
      </c>
      <c r="AJ55">
        <v>1042483</v>
      </c>
      <c r="AK55">
        <v>942874</v>
      </c>
      <c r="AL55">
        <v>1039514</v>
      </c>
      <c r="AM55">
        <v>1133767</v>
      </c>
      <c r="AN55">
        <v>1254397</v>
      </c>
      <c r="AO55">
        <v>1394450</v>
      </c>
      <c r="AP55">
        <v>1540691</v>
      </c>
      <c r="AQ55">
        <v>1710535</v>
      </c>
      <c r="AR55">
        <v>1829933</v>
      </c>
      <c r="AS55">
        <v>2035314</v>
      </c>
      <c r="AT55">
        <v>2257653</v>
      </c>
      <c r="AU55">
        <v>2401236</v>
      </c>
      <c r="AV55">
        <v>2547806</v>
      </c>
      <c r="AW55">
        <v>2718636</v>
      </c>
      <c r="AX55">
        <v>2905693</v>
      </c>
      <c r="AY55">
        <v>3006640</v>
      </c>
      <c r="AZ55">
        <v>3221775</v>
      </c>
      <c r="BA55">
        <v>3414873</v>
      </c>
      <c r="BB55">
        <v>3504423</v>
      </c>
      <c r="BC55">
        <v>3815600</v>
      </c>
      <c r="BD55">
        <v>4130007</v>
      </c>
      <c r="BE55">
        <v>4541304</v>
      </c>
      <c r="BF55">
        <v>5006986</v>
      </c>
      <c r="BG55">
        <v>5470705</v>
      </c>
      <c r="BH55">
        <v>6037036</v>
      </c>
      <c r="BI55">
        <v>6792044</v>
      </c>
      <c r="BJ55">
        <v>7761256</v>
      </c>
      <c r="BK55">
        <v>7977532</v>
      </c>
      <c r="BL55">
        <v>8148323</v>
      </c>
      <c r="BM55">
        <v>8621661</v>
      </c>
      <c r="BN55">
        <v>9324669</v>
      </c>
      <c r="BO55">
        <v>9973879</v>
      </c>
      <c r="BP55">
        <v>10644656</v>
      </c>
      <c r="BQ55">
        <v>11197632</v>
      </c>
      <c r="BR55">
        <v>10501930</v>
      </c>
      <c r="BS55">
        <v>11309308</v>
      </c>
      <c r="BT55">
        <v>10143115</v>
      </c>
      <c r="BU55">
        <v>10377416</v>
      </c>
      <c r="BV55">
        <v>10586961</v>
      </c>
      <c r="BW55">
        <v>11482886</v>
      </c>
      <c r="BX55">
        <v>11822755</v>
      </c>
      <c r="BY55">
        <v>12221252</v>
      </c>
      <c r="BZ55">
        <v>12784620</v>
      </c>
      <c r="CA55">
        <v>13906790</v>
      </c>
      <c r="CB55">
        <v>14516715</v>
      </c>
      <c r="CC55">
        <v>16106100</v>
      </c>
      <c r="CD55">
        <v>17055851</v>
      </c>
      <c r="CE55">
        <v>18843122</v>
      </c>
    </row>
    <row r="56" spans="1:84" x14ac:dyDescent="0.15">
      <c r="A56" t="s">
        <v>248</v>
      </c>
      <c r="B56" t="s">
        <v>86</v>
      </c>
      <c r="C56">
        <v>1000000</v>
      </c>
      <c r="D56" t="s">
        <v>87</v>
      </c>
      <c r="E56" t="s">
        <v>249</v>
      </c>
      <c r="F56" s="4" t="s">
        <v>250</v>
      </c>
      <c r="G56">
        <v>1111</v>
      </c>
      <c r="H56">
        <v>1129</v>
      </c>
      <c r="I56">
        <v>1168</v>
      </c>
      <c r="J56">
        <v>1230</v>
      </c>
      <c r="K56">
        <v>1295</v>
      </c>
      <c r="L56">
        <v>1376</v>
      </c>
      <c r="M56">
        <v>1431</v>
      </c>
      <c r="N56">
        <v>1485</v>
      </c>
      <c r="O56">
        <v>1544</v>
      </c>
      <c r="P56">
        <v>1606</v>
      </c>
      <c r="Q56">
        <v>1680</v>
      </c>
      <c r="R56">
        <v>1747</v>
      </c>
      <c r="S56">
        <v>1821</v>
      </c>
      <c r="T56">
        <v>1937</v>
      </c>
      <c r="U56">
        <v>2331</v>
      </c>
      <c r="V56">
        <v>2896</v>
      </c>
      <c r="W56">
        <v>3454</v>
      </c>
      <c r="X56">
        <v>4078</v>
      </c>
      <c r="Y56">
        <v>4573</v>
      </c>
      <c r="Z56">
        <v>5124</v>
      </c>
      <c r="AA56">
        <v>5522</v>
      </c>
      <c r="AB56">
        <v>6342</v>
      </c>
      <c r="AC56">
        <v>6958</v>
      </c>
      <c r="AD56">
        <v>7228</v>
      </c>
      <c r="AE56">
        <v>7686</v>
      </c>
      <c r="AF56">
        <v>8103</v>
      </c>
      <c r="AG56">
        <v>8694</v>
      </c>
      <c r="AH56">
        <v>9605</v>
      </c>
      <c r="AI56">
        <v>10365</v>
      </c>
      <c r="AJ56">
        <v>11257</v>
      </c>
      <c r="AK56">
        <v>11631</v>
      </c>
      <c r="AL56">
        <v>11900</v>
      </c>
      <c r="AM56">
        <v>12346</v>
      </c>
      <c r="AN56">
        <v>13014</v>
      </c>
      <c r="AO56">
        <v>14043</v>
      </c>
      <c r="AP56">
        <v>14894</v>
      </c>
      <c r="AQ56">
        <v>15696</v>
      </c>
      <c r="AR56">
        <v>16183</v>
      </c>
      <c r="AS56">
        <v>17035</v>
      </c>
      <c r="AT56">
        <v>18089</v>
      </c>
      <c r="AU56">
        <v>19313</v>
      </c>
      <c r="AV56">
        <v>20820</v>
      </c>
      <c r="AW56">
        <v>22091</v>
      </c>
      <c r="AX56">
        <v>23146</v>
      </c>
      <c r="AY56">
        <v>24210</v>
      </c>
      <c r="AZ56">
        <v>25126</v>
      </c>
      <c r="BA56">
        <v>26085</v>
      </c>
      <c r="BB56">
        <v>26973</v>
      </c>
      <c r="BC56">
        <v>27879</v>
      </c>
      <c r="BD56">
        <v>29212</v>
      </c>
      <c r="BE56">
        <v>31049</v>
      </c>
      <c r="BF56">
        <v>32822</v>
      </c>
      <c r="BG56">
        <v>35376</v>
      </c>
      <c r="BH56">
        <v>37861</v>
      </c>
      <c r="BI56">
        <v>40857</v>
      </c>
      <c r="BJ56">
        <v>44406</v>
      </c>
      <c r="BK56">
        <v>47989</v>
      </c>
      <c r="BL56">
        <v>51786</v>
      </c>
      <c r="BM56">
        <v>56192</v>
      </c>
      <c r="BN56">
        <v>61071</v>
      </c>
      <c r="BO56">
        <v>66410</v>
      </c>
      <c r="BP56">
        <v>71506</v>
      </c>
      <c r="BQ56">
        <v>75885</v>
      </c>
      <c r="BR56">
        <v>79082</v>
      </c>
      <c r="BS56">
        <v>80772</v>
      </c>
      <c r="BT56">
        <v>81609</v>
      </c>
      <c r="BU56">
        <v>82597</v>
      </c>
      <c r="BV56">
        <v>84277</v>
      </c>
      <c r="BW56">
        <v>86833</v>
      </c>
      <c r="BX56">
        <v>90104</v>
      </c>
      <c r="BY56">
        <v>94333</v>
      </c>
      <c r="BZ56">
        <v>99297</v>
      </c>
      <c r="CA56">
        <v>104542</v>
      </c>
      <c r="CB56">
        <v>109996</v>
      </c>
      <c r="CC56">
        <v>115707</v>
      </c>
      <c r="CD56">
        <v>121957</v>
      </c>
      <c r="CE56">
        <v>129955</v>
      </c>
    </row>
    <row r="57" spans="1:84" x14ac:dyDescent="0.15">
      <c r="A57" t="s">
        <v>251</v>
      </c>
      <c r="B57" t="s">
        <v>86</v>
      </c>
      <c r="C57">
        <v>1000000</v>
      </c>
      <c r="D57" t="s">
        <v>87</v>
      </c>
      <c r="E57" t="s">
        <v>252</v>
      </c>
      <c r="F57" s="4" t="s">
        <v>253</v>
      </c>
      <c r="G57">
        <v>57924</v>
      </c>
      <c r="H57">
        <v>60810</v>
      </c>
      <c r="I57">
        <v>64315</v>
      </c>
      <c r="J57">
        <v>68856</v>
      </c>
      <c r="K57">
        <v>72986</v>
      </c>
      <c r="L57">
        <v>77488</v>
      </c>
      <c r="M57">
        <v>83554</v>
      </c>
      <c r="N57">
        <v>89931</v>
      </c>
      <c r="O57">
        <v>96956</v>
      </c>
      <c r="P57">
        <v>103506</v>
      </c>
      <c r="Q57">
        <v>110482</v>
      </c>
      <c r="R57">
        <v>119776</v>
      </c>
      <c r="S57">
        <v>129355</v>
      </c>
      <c r="T57">
        <v>137024</v>
      </c>
      <c r="U57">
        <v>144510</v>
      </c>
      <c r="V57">
        <v>152706</v>
      </c>
      <c r="W57">
        <v>160522</v>
      </c>
      <c r="X57">
        <v>168428</v>
      </c>
      <c r="Y57">
        <v>176100</v>
      </c>
      <c r="Z57">
        <v>185305</v>
      </c>
      <c r="AA57">
        <v>197207</v>
      </c>
      <c r="AB57">
        <v>211198</v>
      </c>
      <c r="AC57">
        <v>225284</v>
      </c>
      <c r="AD57">
        <v>240330</v>
      </c>
      <c r="AE57">
        <v>257495</v>
      </c>
      <c r="AF57">
        <v>275842</v>
      </c>
      <c r="AG57">
        <v>294562</v>
      </c>
      <c r="AH57">
        <v>315670</v>
      </c>
      <c r="AI57">
        <v>340562</v>
      </c>
      <c r="AJ57">
        <v>370334</v>
      </c>
      <c r="AK57">
        <v>399755</v>
      </c>
      <c r="AL57">
        <v>430859</v>
      </c>
      <c r="AM57">
        <v>465983</v>
      </c>
      <c r="AN57">
        <v>513006</v>
      </c>
      <c r="AO57">
        <v>572540</v>
      </c>
      <c r="AP57">
        <v>641899</v>
      </c>
      <c r="AQ57">
        <v>724201</v>
      </c>
      <c r="AR57">
        <v>806837</v>
      </c>
      <c r="AS57">
        <v>872071</v>
      </c>
      <c r="AT57">
        <v>949921</v>
      </c>
      <c r="AU57">
        <v>1034295</v>
      </c>
      <c r="AV57">
        <v>1099889</v>
      </c>
      <c r="AW57">
        <v>1161523</v>
      </c>
      <c r="AX57">
        <v>1224686</v>
      </c>
      <c r="AY57">
        <v>1292348</v>
      </c>
      <c r="AZ57">
        <v>1377914</v>
      </c>
      <c r="BA57">
        <v>1448960</v>
      </c>
      <c r="BB57">
        <v>1508884</v>
      </c>
      <c r="BC57">
        <v>1573267</v>
      </c>
      <c r="BD57">
        <v>1638236</v>
      </c>
      <c r="BE57">
        <v>1722803</v>
      </c>
      <c r="BF57">
        <v>1818543</v>
      </c>
      <c r="BG57">
        <v>1921870</v>
      </c>
      <c r="BH57">
        <v>2037979</v>
      </c>
      <c r="BI57">
        <v>2154369</v>
      </c>
      <c r="BJ57">
        <v>2292488</v>
      </c>
      <c r="BK57">
        <v>2432067</v>
      </c>
      <c r="BL57">
        <v>2533255</v>
      </c>
      <c r="BM57">
        <v>2632209</v>
      </c>
      <c r="BN57">
        <v>2733602</v>
      </c>
      <c r="BO57">
        <v>2863349</v>
      </c>
      <c r="BP57">
        <v>3043565</v>
      </c>
      <c r="BQ57">
        <v>3266347</v>
      </c>
      <c r="BR57">
        <v>3524055</v>
      </c>
      <c r="BS57">
        <v>3695992</v>
      </c>
      <c r="BT57">
        <v>3828914</v>
      </c>
      <c r="BU57">
        <v>3983650</v>
      </c>
      <c r="BV57">
        <v>4183714</v>
      </c>
      <c r="BW57">
        <v>4391533</v>
      </c>
      <c r="BX57">
        <v>4654218</v>
      </c>
      <c r="BY57">
        <v>4894122</v>
      </c>
      <c r="BZ57">
        <v>5087957</v>
      </c>
      <c r="CA57">
        <v>5294018</v>
      </c>
      <c r="CB57">
        <v>5528579</v>
      </c>
      <c r="CC57">
        <v>5782188</v>
      </c>
      <c r="CD57">
        <v>5962277</v>
      </c>
      <c r="CE57">
        <v>6112077</v>
      </c>
    </row>
    <row r="60" spans="1:84" x14ac:dyDescent="0.15">
      <c r="A60" t="s">
        <v>254</v>
      </c>
      <c r="G60">
        <f>G29+G33</f>
        <v>44653</v>
      </c>
      <c r="H60">
        <f t="shared" ref="H60:BS60" si="0">H29+H33</f>
        <v>49889</v>
      </c>
      <c r="I60">
        <f t="shared" si="0"/>
        <v>56780</v>
      </c>
      <c r="J60">
        <f t="shared" si="0"/>
        <v>62811</v>
      </c>
      <c r="K60">
        <f t="shared" si="0"/>
        <v>64394</v>
      </c>
      <c r="L60">
        <f t="shared" si="0"/>
        <v>70439</v>
      </c>
      <c r="M60">
        <f t="shared" si="0"/>
        <v>78868</v>
      </c>
      <c r="N60">
        <f t="shared" si="0"/>
        <v>85098</v>
      </c>
      <c r="O60">
        <f t="shared" si="0"/>
        <v>89252</v>
      </c>
      <c r="P60">
        <f t="shared" si="0"/>
        <v>92843</v>
      </c>
      <c r="Q60">
        <f t="shared" si="0"/>
        <v>101216</v>
      </c>
      <c r="R60">
        <f t="shared" si="0"/>
        <v>110961</v>
      </c>
      <c r="S60">
        <f t="shared" si="0"/>
        <v>120632</v>
      </c>
      <c r="T60">
        <f t="shared" si="0"/>
        <v>127965</v>
      </c>
      <c r="U60">
        <f t="shared" si="0"/>
        <v>136645</v>
      </c>
      <c r="V60">
        <f t="shared" si="0"/>
        <v>145592</v>
      </c>
      <c r="W60">
        <f t="shared" si="0"/>
        <v>152987</v>
      </c>
      <c r="X60">
        <f t="shared" si="0"/>
        <v>163466</v>
      </c>
      <c r="Y60">
        <f t="shared" si="0"/>
        <v>174184</v>
      </c>
      <c r="Z60">
        <f t="shared" si="0"/>
        <v>187925</v>
      </c>
      <c r="AA60">
        <f t="shared" si="0"/>
        <v>208193</v>
      </c>
      <c r="AB60">
        <f t="shared" si="0"/>
        <v>232924</v>
      </c>
      <c r="AC60">
        <f t="shared" si="0"/>
        <v>255245</v>
      </c>
      <c r="AD60">
        <f t="shared" si="0"/>
        <v>286074</v>
      </c>
      <c r="AE60">
        <f t="shared" si="0"/>
        <v>318879</v>
      </c>
      <c r="AF60">
        <f t="shared" si="0"/>
        <v>363384</v>
      </c>
      <c r="AG60">
        <f t="shared" si="0"/>
        <v>392236</v>
      </c>
      <c r="AH60">
        <f t="shared" si="0"/>
        <v>431815</v>
      </c>
      <c r="AI60">
        <f t="shared" si="0"/>
        <v>497437</v>
      </c>
      <c r="AJ60">
        <f t="shared" si="0"/>
        <v>553066</v>
      </c>
      <c r="AK60">
        <f t="shared" si="0"/>
        <v>572665</v>
      </c>
      <c r="AL60">
        <f t="shared" si="0"/>
        <v>614346</v>
      </c>
      <c r="AM60">
        <f t="shared" si="0"/>
        <v>690322</v>
      </c>
      <c r="AN60">
        <f t="shared" si="0"/>
        <v>766056</v>
      </c>
      <c r="AO60">
        <f t="shared" si="0"/>
        <v>851772</v>
      </c>
      <c r="AP60">
        <f t="shared" si="0"/>
        <v>919612</v>
      </c>
      <c r="AQ60">
        <f t="shared" si="0"/>
        <v>1038680</v>
      </c>
      <c r="AR60">
        <f t="shared" si="0"/>
        <v>1129934</v>
      </c>
      <c r="AS60">
        <f t="shared" si="0"/>
        <v>1247243</v>
      </c>
      <c r="AT60">
        <f t="shared" si="0"/>
        <v>1457968</v>
      </c>
      <c r="AU60">
        <f t="shared" si="0"/>
        <v>1638943</v>
      </c>
      <c r="AV60">
        <f t="shared" si="0"/>
        <v>1864487</v>
      </c>
      <c r="AW60">
        <f t="shared" si="0"/>
        <v>2051545</v>
      </c>
      <c r="AX60">
        <f t="shared" si="0"/>
        <v>2265205</v>
      </c>
      <c r="AY60">
        <f t="shared" si="0"/>
        <v>2455221</v>
      </c>
      <c r="AZ60">
        <f t="shared" si="0"/>
        <v>2585389</v>
      </c>
      <c r="BA60">
        <f t="shared" si="0"/>
        <v>2526640</v>
      </c>
      <c r="BB60">
        <f t="shared" si="0"/>
        <v>2545000</v>
      </c>
      <c r="BC60">
        <f t="shared" si="0"/>
        <v>2690672</v>
      </c>
      <c r="BD60">
        <f t="shared" si="0"/>
        <v>2888046</v>
      </c>
      <c r="BE60">
        <f t="shared" si="0"/>
        <v>3094015</v>
      </c>
      <c r="BF60">
        <f t="shared" si="0"/>
        <v>3244216</v>
      </c>
      <c r="BG60">
        <f t="shared" si="0"/>
        <v>3521725</v>
      </c>
      <c r="BH60">
        <f t="shared" si="0"/>
        <v>3909254</v>
      </c>
      <c r="BI60">
        <f t="shared" si="0"/>
        <v>4311849</v>
      </c>
      <c r="BJ60">
        <f t="shared" si="0"/>
        <v>4657924</v>
      </c>
      <c r="BK60">
        <f t="shared" si="0"/>
        <v>4793956</v>
      </c>
      <c r="BL60">
        <f t="shared" si="0"/>
        <v>4789506</v>
      </c>
      <c r="BM60">
        <f t="shared" si="0"/>
        <v>4809709</v>
      </c>
      <c r="BN60">
        <f t="shared" si="0"/>
        <v>4988698</v>
      </c>
      <c r="BO60">
        <f t="shared" si="0"/>
        <v>5255569</v>
      </c>
      <c r="BP60">
        <f t="shared" si="0"/>
        <v>5660420</v>
      </c>
      <c r="BQ60">
        <f t="shared" si="0"/>
        <v>6330212</v>
      </c>
      <c r="BR60">
        <f t="shared" si="0"/>
        <v>6585118</v>
      </c>
      <c r="BS60">
        <f t="shared" si="0"/>
        <v>6176549</v>
      </c>
      <c r="BT60">
        <f t="shared" ref="BT60:CE60" si="1">BT29+BT33</f>
        <v>6074198</v>
      </c>
      <c r="BU60">
        <f t="shared" si="1"/>
        <v>6377042</v>
      </c>
      <c r="BV60">
        <f t="shared" si="1"/>
        <v>6747961</v>
      </c>
      <c r="BW60">
        <f t="shared" si="1"/>
        <v>7156255</v>
      </c>
      <c r="BX60">
        <f t="shared" si="1"/>
        <v>7643358</v>
      </c>
      <c r="BY60">
        <f t="shared" si="1"/>
        <v>8207861</v>
      </c>
      <c r="BZ60">
        <f t="shared" si="1"/>
        <v>8478420</v>
      </c>
      <c r="CA60">
        <f t="shared" si="1"/>
        <v>8977971</v>
      </c>
      <c r="CB60">
        <f t="shared" si="1"/>
        <v>9669430</v>
      </c>
      <c r="CC60">
        <f t="shared" si="1"/>
        <v>10307741</v>
      </c>
      <c r="CD60">
        <f t="shared" si="1"/>
        <v>11346816</v>
      </c>
      <c r="CE60">
        <f t="shared" si="1"/>
        <v>11919771</v>
      </c>
    </row>
    <row r="61" spans="1:84" x14ac:dyDescent="0.15">
      <c r="A61" t="s">
        <v>255</v>
      </c>
      <c r="G61">
        <f>G60/G3</f>
        <v>0.15604480089462006</v>
      </c>
      <c r="H61">
        <f t="shared" ref="H61:BS61" si="2">H60/H3</f>
        <v>0.15981253924118755</v>
      </c>
      <c r="I61">
        <f t="shared" si="2"/>
        <v>0.15653775322283608</v>
      </c>
      <c r="J61">
        <f t="shared" si="2"/>
        <v>0.15862004525435372</v>
      </c>
      <c r="K61">
        <f t="shared" si="2"/>
        <v>0.15882576374192847</v>
      </c>
      <c r="L61">
        <f t="shared" si="2"/>
        <v>0.15577094888057391</v>
      </c>
      <c r="M61">
        <f t="shared" si="2"/>
        <v>0.15752963617660865</v>
      </c>
      <c r="N61">
        <f t="shared" si="2"/>
        <v>0.16231960355700012</v>
      </c>
      <c r="O61">
        <f t="shared" si="2"/>
        <v>0.16361983119578211</v>
      </c>
      <c r="P61">
        <f t="shared" si="2"/>
        <v>0.16579314384286947</v>
      </c>
      <c r="Q61">
        <f t="shared" si="2"/>
        <v>0.16446894839383761</v>
      </c>
      <c r="R61">
        <f t="shared" si="2"/>
        <v>0.16503212564697484</v>
      </c>
      <c r="S61">
        <f t="shared" si="2"/>
        <v>0.17014506449269742</v>
      </c>
      <c r="T61">
        <f t="shared" si="2"/>
        <v>0.17461805498698194</v>
      </c>
      <c r="U61">
        <f t="shared" si="2"/>
        <v>0.17684048960660126</v>
      </c>
      <c r="V61">
        <f t="shared" si="2"/>
        <v>0.18426031743621091</v>
      </c>
      <c r="W61">
        <f t="shared" si="2"/>
        <v>0.1866466746618419</v>
      </c>
      <c r="X61">
        <f t="shared" si="2"/>
        <v>0.19130845923111942</v>
      </c>
      <c r="Y61">
        <f t="shared" si="2"/>
        <v>0.19499045668004411</v>
      </c>
      <c r="Z61">
        <f t="shared" si="2"/>
        <v>0.19891231980930668</v>
      </c>
      <c r="AA61">
        <f t="shared" si="2"/>
        <v>0.20338537647097898</v>
      </c>
      <c r="AB61">
        <f t="shared" si="2"/>
        <v>0.20993733173620743</v>
      </c>
      <c r="AC61">
        <f t="shared" si="2"/>
        <v>0.21397266796659531</v>
      </c>
      <c r="AD61">
        <f t="shared" si="2"/>
        <v>0.21875867448182518</v>
      </c>
      <c r="AE61">
        <f t="shared" si="2"/>
        <v>0.22060758596929139</v>
      </c>
      <c r="AF61">
        <f t="shared" si="2"/>
        <v>0.23204894059949679</v>
      </c>
      <c r="AG61">
        <f t="shared" si="2"/>
        <v>0.22895227466147708</v>
      </c>
      <c r="AH61">
        <f t="shared" si="2"/>
        <v>0.22770392978652049</v>
      </c>
      <c r="AI61">
        <f t="shared" si="2"/>
        <v>0.2294982509787783</v>
      </c>
      <c r="AJ61">
        <f t="shared" si="2"/>
        <v>0.21617262979167823</v>
      </c>
      <c r="AK61">
        <f t="shared" si="2"/>
        <v>0.1971197485304611</v>
      </c>
      <c r="AL61">
        <f t="shared" si="2"/>
        <v>0.19094895738113363</v>
      </c>
      <c r="AM61">
        <f t="shared" si="2"/>
        <v>0.19270400067889495</v>
      </c>
      <c r="AN61">
        <f t="shared" si="2"/>
        <v>0.18787490996274905</v>
      </c>
      <c r="AO61">
        <f t="shared" si="2"/>
        <v>0.18056950585757223</v>
      </c>
      <c r="AP61">
        <f t="shared" si="2"/>
        <v>0.1712566040757646</v>
      </c>
      <c r="AQ61">
        <f t="shared" si="2"/>
        <v>0.17191511364375531</v>
      </c>
      <c r="AR61">
        <f t="shared" si="2"/>
        <v>0.17690414382238914</v>
      </c>
      <c r="AS61">
        <f t="shared" si="2"/>
        <v>0.18562398360159726</v>
      </c>
      <c r="AT61">
        <f t="shared" si="2"/>
        <v>0.19982747027398345</v>
      </c>
      <c r="AU61">
        <f t="shared" si="2"/>
        <v>0.21010812932649992</v>
      </c>
      <c r="AV61">
        <f t="shared" si="2"/>
        <v>0.22874474754476473</v>
      </c>
      <c r="AW61">
        <f t="shared" si="2"/>
        <v>0.236540953547558</v>
      </c>
      <c r="AX61">
        <f t="shared" si="2"/>
        <v>0.24025677253306466</v>
      </c>
      <c r="AY61">
        <f t="shared" si="2"/>
        <v>0.24626011694447089</v>
      </c>
      <c r="AZ61">
        <f t="shared" si="2"/>
        <v>0.25265020482109146</v>
      </c>
      <c r="BA61">
        <f t="shared" si="2"/>
        <v>0.24763051360221325</v>
      </c>
      <c r="BB61">
        <f t="shared" si="2"/>
        <v>0.24914897757874577</v>
      </c>
      <c r="BC61">
        <f t="shared" si="2"/>
        <v>0.25154293331074684</v>
      </c>
      <c r="BD61">
        <f t="shared" si="2"/>
        <v>0.25399552876488724</v>
      </c>
      <c r="BE61">
        <f t="shared" si="2"/>
        <v>0.25303981620271354</v>
      </c>
      <c r="BF61">
        <f t="shared" si="2"/>
        <v>0.24891521165054326</v>
      </c>
      <c r="BG61">
        <f t="shared" si="2"/>
        <v>0.24530691984614808</v>
      </c>
      <c r="BH61">
        <f t="shared" si="2"/>
        <v>0.24245867011904387</v>
      </c>
      <c r="BI61">
        <f t="shared" si="2"/>
        <v>0.24066269172340279</v>
      </c>
      <c r="BJ61">
        <f t="shared" si="2"/>
        <v>0.22644102311009812</v>
      </c>
      <c r="BK61">
        <f t="shared" si="2"/>
        <v>0.23155352978436536</v>
      </c>
      <c r="BL61">
        <f t="shared" si="2"/>
        <v>0.22649452505323289</v>
      </c>
      <c r="BM61">
        <f t="shared" si="2"/>
        <v>0.22227324700599232</v>
      </c>
      <c r="BN61">
        <f t="shared" si="2"/>
        <v>0.2074601169232663</v>
      </c>
      <c r="BO61">
        <f t="shared" si="2"/>
        <v>0.20023172550886306</v>
      </c>
      <c r="BP61">
        <f t="shared" si="2"/>
        <v>0.19855134219868281</v>
      </c>
      <c r="BQ61">
        <f t="shared" si="2"/>
        <v>0.20353113078012669</v>
      </c>
      <c r="BR61">
        <f t="shared" si="2"/>
        <v>0.22317018049755316</v>
      </c>
      <c r="BS61">
        <f t="shared" si="2"/>
        <v>0.22542031165967594</v>
      </c>
      <c r="BT61">
        <f t="shared" ref="BT61:CE61" si="3">BT60/BT3</f>
        <v>0.22478609657826687</v>
      </c>
      <c r="BU61">
        <f t="shared" si="3"/>
        <v>0.22625084280278707</v>
      </c>
      <c r="BV61">
        <f t="shared" si="3"/>
        <v>0.22939151136361396</v>
      </c>
      <c r="BW61">
        <f t="shared" si="3"/>
        <v>0.22352476879160682</v>
      </c>
      <c r="BX61">
        <f t="shared" si="3"/>
        <v>0.22516519614039623</v>
      </c>
      <c r="BY61">
        <f t="shared" si="3"/>
        <v>0.22677047596221256</v>
      </c>
      <c r="BZ61">
        <f t="shared" si="3"/>
        <v>0.22175315247632749</v>
      </c>
      <c r="CA61">
        <f t="shared" si="3"/>
        <v>0.22237880049953901</v>
      </c>
      <c r="CB61">
        <f t="shared" si="3"/>
        <v>0.2290626363100747</v>
      </c>
      <c r="CC61">
        <f t="shared" si="3"/>
        <v>0.21855173903537303</v>
      </c>
      <c r="CD61">
        <f t="shared" si="3"/>
        <v>0.23129106351809747</v>
      </c>
      <c r="CE61">
        <f t="shared" si="3"/>
        <v>0.22093710270640177</v>
      </c>
      <c r="CF61">
        <f>AVERAGE(G61:CE61)</f>
        <v>0.20740430887593478</v>
      </c>
    </row>
  </sheetData>
  <hyperlinks>
    <hyperlink ref="A1" r:id="rId1" display="http://www.federalreserve.gov/datadownload/Download.aspx?rel=Z1&amp;series=8f04ae1e123e920358c772c955740f08&amp;filetype=spreadsheetml&amp;label=include&amp;layout=seriesrow&amp;from=01/01/1945&amp;to=12/31/20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"/>
  <sheetViews>
    <sheetView tabSelected="1" workbookViewId="0">
      <selection activeCell="B1" sqref="B1:B1048576"/>
    </sheetView>
  </sheetViews>
  <sheetFormatPr baseColWidth="10" defaultRowHeight="13" x14ac:dyDescent="0.15"/>
  <sheetData>
    <row r="1" spans="1:2" x14ac:dyDescent="0.15">
      <c r="A1" t="s">
        <v>256</v>
      </c>
      <c r="B1" t="s">
        <v>257</v>
      </c>
    </row>
    <row r="2" spans="1:2" x14ac:dyDescent="0.15">
      <c r="A2" t="s">
        <v>8</v>
      </c>
      <c r="B2">
        <v>0.15604480089462006</v>
      </c>
    </row>
    <row r="3" spans="1:2" x14ac:dyDescent="0.15">
      <c r="A3" t="s">
        <v>9</v>
      </c>
      <c r="B3">
        <v>0.15981253924118755</v>
      </c>
    </row>
    <row r="4" spans="1:2" x14ac:dyDescent="0.15">
      <c r="A4" t="s">
        <v>10</v>
      </c>
      <c r="B4">
        <v>0.15653775322283608</v>
      </c>
    </row>
    <row r="5" spans="1:2" x14ac:dyDescent="0.15">
      <c r="A5" t="s">
        <v>11</v>
      </c>
      <c r="B5">
        <v>0.15862004525435372</v>
      </c>
    </row>
    <row r="6" spans="1:2" x14ac:dyDescent="0.15">
      <c r="A6" t="s">
        <v>12</v>
      </c>
      <c r="B6">
        <v>0.15882576374192847</v>
      </c>
    </row>
    <row r="7" spans="1:2" x14ac:dyDescent="0.15">
      <c r="A7" t="s">
        <v>13</v>
      </c>
      <c r="B7">
        <v>0.15577094888057391</v>
      </c>
    </row>
    <row r="8" spans="1:2" x14ac:dyDescent="0.15">
      <c r="A8" t="s">
        <v>14</v>
      </c>
      <c r="B8">
        <v>0.15752963617660865</v>
      </c>
    </row>
    <row r="9" spans="1:2" x14ac:dyDescent="0.15">
      <c r="A9" t="s">
        <v>15</v>
      </c>
      <c r="B9">
        <v>0.16231960355700012</v>
      </c>
    </row>
    <row r="10" spans="1:2" x14ac:dyDescent="0.15">
      <c r="A10" t="s">
        <v>16</v>
      </c>
      <c r="B10">
        <v>0.16361983119578211</v>
      </c>
    </row>
    <row r="11" spans="1:2" x14ac:dyDescent="0.15">
      <c r="A11" t="s">
        <v>17</v>
      </c>
      <c r="B11">
        <v>0.16579314384286947</v>
      </c>
    </row>
    <row r="12" spans="1:2" x14ac:dyDescent="0.15">
      <c r="A12" t="s">
        <v>18</v>
      </c>
      <c r="B12">
        <v>0.16446894839383761</v>
      </c>
    </row>
    <row r="13" spans="1:2" x14ac:dyDescent="0.15">
      <c r="A13" t="s">
        <v>19</v>
      </c>
      <c r="B13">
        <v>0.16503212564697484</v>
      </c>
    </row>
    <row r="14" spans="1:2" x14ac:dyDescent="0.15">
      <c r="A14" t="s">
        <v>20</v>
      </c>
      <c r="B14">
        <v>0.17014506449269742</v>
      </c>
    </row>
    <row r="15" spans="1:2" x14ac:dyDescent="0.15">
      <c r="A15" t="s">
        <v>21</v>
      </c>
      <c r="B15">
        <v>0.17461805498698194</v>
      </c>
    </row>
    <row r="16" spans="1:2" x14ac:dyDescent="0.15">
      <c r="A16" t="s">
        <v>22</v>
      </c>
      <c r="B16">
        <v>0.17684048960660126</v>
      </c>
    </row>
    <row r="17" spans="1:2" x14ac:dyDescent="0.15">
      <c r="A17" t="s">
        <v>23</v>
      </c>
      <c r="B17">
        <v>0.18426031743621091</v>
      </c>
    </row>
    <row r="18" spans="1:2" x14ac:dyDescent="0.15">
      <c r="A18" t="s">
        <v>24</v>
      </c>
      <c r="B18">
        <v>0.1866466746618419</v>
      </c>
    </row>
    <row r="19" spans="1:2" x14ac:dyDescent="0.15">
      <c r="A19" t="s">
        <v>25</v>
      </c>
      <c r="B19">
        <v>0.19130845923111942</v>
      </c>
    </row>
    <row r="20" spans="1:2" x14ac:dyDescent="0.15">
      <c r="A20" t="s">
        <v>26</v>
      </c>
      <c r="B20">
        <v>0.19499045668004411</v>
      </c>
    </row>
    <row r="21" spans="1:2" x14ac:dyDescent="0.15">
      <c r="A21" t="s">
        <v>27</v>
      </c>
      <c r="B21">
        <v>0.19891231980930668</v>
      </c>
    </row>
    <row r="22" spans="1:2" x14ac:dyDescent="0.15">
      <c r="A22" t="s">
        <v>28</v>
      </c>
      <c r="B22">
        <v>0.20338537647097898</v>
      </c>
    </row>
    <row r="23" spans="1:2" x14ac:dyDescent="0.15">
      <c r="A23" t="s">
        <v>29</v>
      </c>
      <c r="B23">
        <v>0.20993733173620743</v>
      </c>
    </row>
    <row r="24" spans="1:2" x14ac:dyDescent="0.15">
      <c r="A24" t="s">
        <v>30</v>
      </c>
      <c r="B24">
        <v>0.21397266796659531</v>
      </c>
    </row>
    <row r="25" spans="1:2" x14ac:dyDescent="0.15">
      <c r="A25" t="s">
        <v>31</v>
      </c>
      <c r="B25">
        <v>0.21875867448182518</v>
      </c>
    </row>
    <row r="26" spans="1:2" x14ac:dyDescent="0.15">
      <c r="A26" t="s">
        <v>32</v>
      </c>
      <c r="B26">
        <v>0.22060758596929139</v>
      </c>
    </row>
    <row r="27" spans="1:2" x14ac:dyDescent="0.15">
      <c r="A27" t="s">
        <v>33</v>
      </c>
      <c r="B27">
        <v>0.23204894059949679</v>
      </c>
    </row>
    <row r="28" spans="1:2" x14ac:dyDescent="0.15">
      <c r="A28" t="s">
        <v>34</v>
      </c>
      <c r="B28">
        <v>0.22895227466147708</v>
      </c>
    </row>
    <row r="29" spans="1:2" x14ac:dyDescent="0.15">
      <c r="A29" t="s">
        <v>35</v>
      </c>
      <c r="B29">
        <v>0.22770392978652049</v>
      </c>
    </row>
    <row r="30" spans="1:2" x14ac:dyDescent="0.15">
      <c r="A30" t="s">
        <v>36</v>
      </c>
      <c r="B30">
        <v>0.2294982509787783</v>
      </c>
    </row>
    <row r="31" spans="1:2" x14ac:dyDescent="0.15">
      <c r="A31" t="s">
        <v>37</v>
      </c>
      <c r="B31">
        <v>0.21617262979167823</v>
      </c>
    </row>
    <row r="32" spans="1:2" x14ac:dyDescent="0.15">
      <c r="A32" t="s">
        <v>38</v>
      </c>
      <c r="B32">
        <v>0.1971197485304611</v>
      </c>
    </row>
    <row r="33" spans="1:2" x14ac:dyDescent="0.15">
      <c r="A33" t="s">
        <v>39</v>
      </c>
      <c r="B33">
        <v>0.19094895738113363</v>
      </c>
    </row>
    <row r="34" spans="1:2" x14ac:dyDescent="0.15">
      <c r="A34" t="s">
        <v>40</v>
      </c>
      <c r="B34">
        <v>0.19270400067889495</v>
      </c>
    </row>
    <row r="35" spans="1:2" x14ac:dyDescent="0.15">
      <c r="A35" t="s">
        <v>41</v>
      </c>
      <c r="B35">
        <v>0.18787490996274905</v>
      </c>
    </row>
    <row r="36" spans="1:2" x14ac:dyDescent="0.15">
      <c r="A36" t="s">
        <v>42</v>
      </c>
      <c r="B36">
        <v>0.18056950585757223</v>
      </c>
    </row>
    <row r="37" spans="1:2" x14ac:dyDescent="0.15">
      <c r="A37" t="s">
        <v>43</v>
      </c>
      <c r="B37">
        <v>0.1712566040757646</v>
      </c>
    </row>
    <row r="38" spans="1:2" x14ac:dyDescent="0.15">
      <c r="A38" t="s">
        <v>44</v>
      </c>
      <c r="B38">
        <v>0.17191511364375531</v>
      </c>
    </row>
    <row r="39" spans="1:2" x14ac:dyDescent="0.15">
      <c r="A39" t="s">
        <v>45</v>
      </c>
      <c r="B39">
        <v>0.17690414382238914</v>
      </c>
    </row>
    <row r="40" spans="1:2" x14ac:dyDescent="0.15">
      <c r="A40" t="s">
        <v>46</v>
      </c>
      <c r="B40">
        <v>0.18562398360159726</v>
      </c>
    </row>
    <row r="41" spans="1:2" x14ac:dyDescent="0.15">
      <c r="A41" t="s">
        <v>47</v>
      </c>
      <c r="B41">
        <v>0.19982747027398345</v>
      </c>
    </row>
    <row r="42" spans="1:2" x14ac:dyDescent="0.15">
      <c r="A42" t="s">
        <v>48</v>
      </c>
      <c r="B42">
        <v>0.21010812932649992</v>
      </c>
    </row>
    <row r="43" spans="1:2" x14ac:dyDescent="0.15">
      <c r="A43" t="s">
        <v>49</v>
      </c>
      <c r="B43">
        <v>0.22874474754476473</v>
      </c>
    </row>
    <row r="44" spans="1:2" x14ac:dyDescent="0.15">
      <c r="A44" t="s">
        <v>50</v>
      </c>
      <c r="B44">
        <v>0.236540953547558</v>
      </c>
    </row>
    <row r="45" spans="1:2" x14ac:dyDescent="0.15">
      <c r="A45" t="s">
        <v>51</v>
      </c>
      <c r="B45">
        <v>0.24025677253306466</v>
      </c>
    </row>
    <row r="46" spans="1:2" x14ac:dyDescent="0.15">
      <c r="A46" t="s">
        <v>52</v>
      </c>
      <c r="B46">
        <v>0.24626011694447089</v>
      </c>
    </row>
    <row r="47" spans="1:2" x14ac:dyDescent="0.15">
      <c r="A47" t="s">
        <v>53</v>
      </c>
      <c r="B47">
        <v>0.25265020482109146</v>
      </c>
    </row>
    <row r="48" spans="1:2" x14ac:dyDescent="0.15">
      <c r="A48" t="s">
        <v>54</v>
      </c>
      <c r="B48">
        <v>0.24763051360221325</v>
      </c>
    </row>
    <row r="49" spans="1:2" x14ac:dyDescent="0.15">
      <c r="A49" t="s">
        <v>55</v>
      </c>
      <c r="B49">
        <v>0.24914897757874577</v>
      </c>
    </row>
    <row r="50" spans="1:2" x14ac:dyDescent="0.15">
      <c r="A50" t="s">
        <v>56</v>
      </c>
      <c r="B50">
        <v>0.25154293331074684</v>
      </c>
    </row>
    <row r="51" spans="1:2" x14ac:dyDescent="0.15">
      <c r="A51" t="s">
        <v>57</v>
      </c>
      <c r="B51">
        <v>0.25399552876488724</v>
      </c>
    </row>
    <row r="52" spans="1:2" x14ac:dyDescent="0.15">
      <c r="A52" t="s">
        <v>58</v>
      </c>
      <c r="B52">
        <v>0.25303981620271354</v>
      </c>
    </row>
    <row r="53" spans="1:2" x14ac:dyDescent="0.15">
      <c r="A53" t="s">
        <v>59</v>
      </c>
      <c r="B53">
        <v>0.24891521165054326</v>
      </c>
    </row>
    <row r="54" spans="1:2" x14ac:dyDescent="0.15">
      <c r="A54" t="s">
        <v>60</v>
      </c>
      <c r="B54">
        <v>0.24530691984614808</v>
      </c>
    </row>
    <row r="55" spans="1:2" x14ac:dyDescent="0.15">
      <c r="A55" t="s">
        <v>61</v>
      </c>
      <c r="B55">
        <v>0.24245867011904387</v>
      </c>
    </row>
    <row r="56" spans="1:2" x14ac:dyDescent="0.15">
      <c r="A56" t="s">
        <v>62</v>
      </c>
      <c r="B56">
        <v>0.24066269172340279</v>
      </c>
    </row>
    <row r="57" spans="1:2" x14ac:dyDescent="0.15">
      <c r="A57" t="s">
        <v>63</v>
      </c>
      <c r="B57">
        <v>0.22644102311009812</v>
      </c>
    </row>
    <row r="58" spans="1:2" x14ac:dyDescent="0.15">
      <c r="A58" t="s">
        <v>64</v>
      </c>
      <c r="B58">
        <v>0.23155352978436536</v>
      </c>
    </row>
    <row r="59" spans="1:2" x14ac:dyDescent="0.15">
      <c r="A59" t="s">
        <v>65</v>
      </c>
      <c r="B59">
        <v>0.22649452505323289</v>
      </c>
    </row>
    <row r="60" spans="1:2" x14ac:dyDescent="0.15">
      <c r="A60" t="s">
        <v>66</v>
      </c>
      <c r="B60">
        <v>0.22227324700599232</v>
      </c>
    </row>
    <row r="61" spans="1:2" x14ac:dyDescent="0.15">
      <c r="A61" t="s">
        <v>67</v>
      </c>
      <c r="B61">
        <v>0.2074601169232663</v>
      </c>
    </row>
    <row r="62" spans="1:2" x14ac:dyDescent="0.15">
      <c r="A62" t="s">
        <v>68</v>
      </c>
      <c r="B62">
        <v>0.20023172550886306</v>
      </c>
    </row>
    <row r="63" spans="1:2" x14ac:dyDescent="0.15">
      <c r="A63" t="s">
        <v>69</v>
      </c>
      <c r="B63">
        <v>0.19855134219868281</v>
      </c>
    </row>
    <row r="64" spans="1:2" x14ac:dyDescent="0.15">
      <c r="A64" t="s">
        <v>70</v>
      </c>
      <c r="B64">
        <v>0.20353113078012669</v>
      </c>
    </row>
    <row r="65" spans="1:2" x14ac:dyDescent="0.15">
      <c r="A65" t="s">
        <v>71</v>
      </c>
      <c r="B65">
        <v>0.22317018049755316</v>
      </c>
    </row>
    <row r="66" spans="1:2" x14ac:dyDescent="0.15">
      <c r="A66" t="s">
        <v>72</v>
      </c>
      <c r="B66">
        <v>0.22542031165967594</v>
      </c>
    </row>
    <row r="67" spans="1:2" x14ac:dyDescent="0.15">
      <c r="A67" t="s">
        <v>73</v>
      </c>
      <c r="B67">
        <v>0.22478609657826687</v>
      </c>
    </row>
    <row r="68" spans="1:2" x14ac:dyDescent="0.15">
      <c r="A68" t="s">
        <v>74</v>
      </c>
      <c r="B68">
        <v>0.22625084280278707</v>
      </c>
    </row>
    <row r="69" spans="1:2" x14ac:dyDescent="0.15">
      <c r="A69" t="s">
        <v>75</v>
      </c>
      <c r="B69">
        <v>0.22939151136361396</v>
      </c>
    </row>
    <row r="70" spans="1:2" x14ac:dyDescent="0.15">
      <c r="A70" t="s">
        <v>76</v>
      </c>
      <c r="B70">
        <v>0.22352476879160682</v>
      </c>
    </row>
    <row r="71" spans="1:2" x14ac:dyDescent="0.15">
      <c r="A71" t="s">
        <v>77</v>
      </c>
      <c r="B71">
        <v>0.22516519614039623</v>
      </c>
    </row>
    <row r="72" spans="1:2" x14ac:dyDescent="0.15">
      <c r="A72" t="s">
        <v>78</v>
      </c>
      <c r="B72">
        <v>0.22677047596221256</v>
      </c>
    </row>
    <row r="73" spans="1:2" x14ac:dyDescent="0.15">
      <c r="A73" t="s">
        <v>79</v>
      </c>
      <c r="B73">
        <v>0.22175315247632749</v>
      </c>
    </row>
    <row r="74" spans="1:2" x14ac:dyDescent="0.15">
      <c r="A74" t="s">
        <v>80</v>
      </c>
      <c r="B74">
        <v>0.22237880049953901</v>
      </c>
    </row>
    <row r="75" spans="1:2" x14ac:dyDescent="0.15">
      <c r="A75" t="s">
        <v>81</v>
      </c>
      <c r="B75">
        <v>0.2290626363100747</v>
      </c>
    </row>
    <row r="76" spans="1:2" x14ac:dyDescent="0.15">
      <c r="A76" t="s">
        <v>82</v>
      </c>
      <c r="B76">
        <v>0.21855173903537303</v>
      </c>
    </row>
    <row r="77" spans="1:2" x14ac:dyDescent="0.15">
      <c r="A77" t="s">
        <v>83</v>
      </c>
      <c r="B77">
        <v>0.23129106351809747</v>
      </c>
    </row>
    <row r="78" spans="1:2" x14ac:dyDescent="0.15">
      <c r="A78" t="s">
        <v>84</v>
      </c>
      <c r="B78">
        <v>0.22093710270640177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leverage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2022-09-01T20:10:05Z</dcterms:created>
  <dcterms:modified xsi:type="dcterms:W3CDTF">2022-09-01T20:10:07Z</dcterms:modified>
</cp:coreProperties>
</file>